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3d9cbb6bc4a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fb40fb4bbba48bb"/>
    <x:sheet xmlns:r="http://schemas.openxmlformats.org/officeDocument/2006/relationships" name="Master Checklist" sheetId="2" r:id="Rd982f5f10f1b4c5f"/>
    <x:sheet xmlns:r="http://schemas.openxmlformats.org/officeDocument/2006/relationships" name="Standards Register" sheetId="3" r:id="R3935f88e18044da5"/>
    <x:sheet xmlns:r="http://schemas.openxmlformats.org/officeDocument/2006/relationships" name="Domain Summary" sheetId="4" r:id="Rde24564b824c472a"/>
    <x:sheet xmlns:r="http://schemas.openxmlformats.org/officeDocument/2006/relationships" name="Methodology" sheetId="5" r:id="R39707d704445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12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9"/>
      <x:color rgb="FF1D4ED8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0"/>
      <x:color rgb="FF475569"/>
      <x:name val="Carlito"/>
    </x:font>
    <x:font>
      <x:b/>
      <x:sz val="11"/>
      <x:color rgb="FF15324B"/>
      <x:name val="Carlito"/>
    </x:font>
    <x:font>
      <x:b/>
      <x:sz val="12"/>
      <x:color rgb="FF15324B"/>
      <x:name val="Carlito"/>
    </x:font>
    <x:font>
      <x:b/>
      <x:sz val="12"/>
      <x:color rgb="FFFFFFFF"/>
      <x:name val="Carlito"/>
    </x:font>
    <x:font>
      <x:b/>
      <x:sz val="11"/>
      <x:color rgb="FF92400E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F4F7FA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top" wrapText="1"/>
    </x:xf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8" fillId="0" borderId="0" xfId="0" applyNumberFormat="1" applyFont="1" applyFill="1" applyBorder="1"/>
    <x:xf numFmtId="201" fontId="8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f3b2e948124061" /><Relationship Type="http://schemas.openxmlformats.org/officeDocument/2006/relationships/theme" Target="/xl/theme/theme1.xml" Id="R339afeba48bb4f10" /><Relationship Type="http://schemas.openxmlformats.org/officeDocument/2006/relationships/sharedStrings" Target="/xl/sharedStrings.xml" Id="R3bba1aaf14c44983" /><Relationship Type="http://schemas.openxmlformats.org/officeDocument/2006/relationships/worksheet" Target="/xl/worksheets/sheet1.xml" Id="R2fb40fb4bbba48bb" /><Relationship Type="http://schemas.openxmlformats.org/officeDocument/2006/relationships/worksheet" Target="/xl/worksheets/sheet2.xml" Id="Rd982f5f10f1b4c5f" /><Relationship Type="http://schemas.openxmlformats.org/officeDocument/2006/relationships/worksheet" Target="/xl/worksheets/sheet3.xml" Id="R3935f88e18044da5" /><Relationship Type="http://schemas.openxmlformats.org/officeDocument/2006/relationships/worksheet" Target="/xl/worksheets/sheet4.xml" Id="Rde24564b824c472a" /><Relationship Type="http://schemas.openxmlformats.org/officeDocument/2006/relationships/worksheet" Target="/xl/worksheets/sheet5.xml" Id="R39707d70444540e1" /></Relationships>
</file>

<file path=xl/tables/table1.xml><?xml version="1.0" encoding="utf-8"?>
<x:table xmlns:x="http://schemas.openxmlformats.org/spreadsheetml/2006/main" id="1" name="StandardsMasterChecklist" displayName="StandardsMasterChecklist" ref="A1:V470" headerRowCount="1" totalsRowCount="0" totalsRowShown="0">
  <x:tableColumns count="22">
    <x:tableColumn id="1" name="Control ID"/>
    <x:tableColumn id="2" name="Domain ID"/>
    <x:tableColumn id="3" name="Domain"/>
    <x:tableColumn id="4" name="Requirement / Control Objective"/>
    <x:tableColumn id="5" name="Acceptance Criteria"/>
    <x:tableColumn id="6" name="Expected Evidence"/>
    <x:tableColumn id="7" name="Verification Mode"/>
    <x:tableColumn id="8" name="Priority"/>
    <x:tableColumn id="9" name="Applicability"/>
    <x:tableColumn id="10" name="Relationship"/>
    <x:tableColumn id="11" name="Mapped Framework IDs"/>
    <x:tableColumn id="12" name="Mapped Frameworks / Versions"/>
    <x:tableColumn id="13" name="Official Source URLs"/>
    <x:tableColumn id="14" name="Project Status"/>
    <x:tableColumn id="15" name="Owner"/>
    <x:tableColumn id="16" name="Due Date"/>
    <x:tableColumn id="17" name="Evidence URL"/>
    <x:tableColumn id="18" name="Evidence Note"/>
    <x:tableColumn id="19" name="Reviewer"/>
    <x:tableColumn id="20" name="Last Reviewed"/>
    <x:tableColumn id="21" name="Justification / Exception"/>
    <x:tableColumn id="22" name="Rev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ndardsRegister" displayName="StandardsRegister" ref="A1:I68" headerRowCount="1" totalsRowCount="0" totalsRowShown="0">
  <x:tableColumns count="9">
    <x:tableColumn id="1" name="Framework ID"/>
    <x:tableColumn id="2" name="Name"/>
    <x:tableColumn id="3" name="Version / Status"/>
    <x:tableColumn id="4" name="Relationship"/>
    <x:tableColumn id="5" name="Applicability"/>
    <x:tableColumn id="6" name="Mapped Control Count"/>
    <x:tableColumn id="7" name="Use and Limitations"/>
    <x:tableColumn id="8" name="Official URL"/>
    <x:tableColumn id="9" name="Last Verifi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mainSummary" displayName="DomainSummary" ref="A1:J33" headerRowCount="1" totalsRowCount="0" totalsRowShown="0">
  <x:tableColumns count="10">
    <x:tableColumn id="1" name="Domain ID"/>
    <x:tableColumn id="2" name="Domain"/>
    <x:tableColumn id="3" name="Controls"/>
    <x:tableColumn id="4" name="P0"/>
    <x:tableColumn id="5" name="P1"/>
    <x:tableColumn id="6" name="P2"/>
    <x:tableColumn id="7" name="P3"/>
    <x:tableColumn id="8" name="Core"/>
    <x:tableColumn id="9" name="Conditional"/>
    <x:tableColumn id="10" name="Adjac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48351450cff4d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1d69fa3b2f40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c67c483e6d5444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5" hidden="0" customWidth="1"/>
    <x:col min="4" max="4" width="28" hidden="0" customWidth="1"/>
    <x:col min="5" max="5" width="18" hidden="0" customWidth="1"/>
    <x:col min="6" max="6" width="5" hidden="0" customWidth="1"/>
    <x:col min="7" max="7" width="5" hidden="0" customWidth="1"/>
    <x:col min="8" max="8" width="5" hidden="0" customWidth="1"/>
  </x:cols>
  <x:sheetData>
    <x:row r="1" ht="38" customHeight="1">
      <x:c r="A1" s="31" t="str">
        <x:v>FIREWATCH v9 Pro — Standards &amp; Assurance Dashboard</x:v>
      </x:c>
      <x:c r="B1" s="31"/>
      <x:c r="C1" s="31"/>
      <x:c r="D1" s="31"/>
      <x:c r="E1" s="31"/>
      <x:c r="F1" s="31"/>
      <x:c r="G1" s="31"/>
      <x:c r="H1" s="31"/>
    </x:row>
    <x:row r="2" ht="25" customHeight="1">
      <x:c r="A2" s="35" t="str">
        <x:v>Curated standards crosswalk and project checklist | Catalogue date: 2026-10-15</x:v>
      </x:c>
      <x:c r="B2" s="35"/>
      <x:c r="C2" s="35"/>
      <x:c r="D2" s="35"/>
      <x:c r="E2" s="35"/>
      <x:c r="F2" s="35"/>
      <x:c r="G2" s="35"/>
      <x:c r="H2" s="35"/>
    </x:row>
    <x:row r="4">
      <x:c r="A4" s="40" t="str">
        <x:v>Metric</x:v>
      </x:c>
      <x:c r="B4" s="40" t="str">
        <x:v>Value</x:v>
      </x:c>
      <x:c r="D4" s="40" t="str">
        <x:v>Status</x:v>
      </x:c>
      <x:c r="E4" s="40" t="str">
        <x:v>Controls</x:v>
      </x:c>
    </x:row>
    <x:row r="5">
      <x:c r="A5" s="45" t="str">
        <x:v>Mapped checklist controls</x:v>
      </x:c>
      <x:c r="B5" s="49" t="n">
        <x:f>COUNTA('Master Checklist'!A2:A470)</x:f>
        <x:v>469</x:v>
      </x:c>
      <x:c r="D5" s="45" t="str">
        <x:v>not_assessed</x:v>
      </x:c>
      <x:c r="E5" s="49" t="n">
        <x:f>COUNTIF('Master Checklist'!N2:N470,"not_assessed")</x:f>
        <x:v>469</x:v>
      </x:c>
    </x:row>
    <x:row r="6">
      <x:c r="A6" s="45" t="str">
        <x:v>Standards / framework references</x:v>
      </x:c>
      <x:c r="B6" s="49" t="n">
        <x:f>COUNTA('Standards Register'!A2:A68)</x:f>
        <x:v>67</x:v>
      </x:c>
      <x:c r="D6" s="45" t="str">
        <x:v>evidence_pending</x:v>
      </x:c>
      <x:c r="E6" s="49" t="n">
        <x:f>COUNTIF('Master Checklist'!N2:N470,"evidence_pending")</x:f>
        <x:v>0</x:v>
      </x:c>
    </x:row>
    <x:row r="7">
      <x:c r="A7" s="45" t="str">
        <x:v>Checklist domains</x:v>
      </x:c>
      <x:c r="B7" s="49" t="n">
        <x:f>COUNTA('Domain Summary'!A2:A33)</x:f>
        <x:v>32</x:v>
      </x:c>
      <x:c r="D7" s="45" t="str">
        <x:v>blocked</x:v>
      </x:c>
      <x:c r="E7" s="49" t="n">
        <x:f>COUNTIF('Master Checklist'!N2:N470,"blocked")</x:f>
        <x:v>0</x:v>
      </x:c>
    </x:row>
    <x:row r="8">
      <x:c r="A8" s="45" t="str">
        <x:v>Compliant controls</x:v>
      </x:c>
      <x:c r="B8" s="49" t="n">
        <x:f>COUNTIF('Master Checklist'!N2:N470,"compliant")</x:f>
        <x:v>0</x:v>
      </x:c>
      <x:c r="D8" s="45" t="str">
        <x:v>not_applicable</x:v>
      </x:c>
      <x:c r="E8" s="49" t="n">
        <x:f>COUNTIF('Master Checklist'!N2:N470,"not_applicable")</x:f>
        <x:v>0</x:v>
      </x:c>
    </x:row>
    <x:row r="9">
      <x:c r="A9" s="45" t="str">
        <x:v>Partially compliant controls</x:v>
      </x:c>
      <x:c r="B9" s="49" t="n">
        <x:f>COUNTIF('Master Checklist'!N2:N470,"partially_compliant")</x:f>
        <x:v>0</x:v>
      </x:c>
      <x:c r="D9" s="45" t="str">
        <x:v>Compliant + Partial</x:v>
      </x:c>
      <x:c r="E9" s="49" t="n">
        <x:f>COUNTIF('Master Checklist'!N2:N470,"compliant")+COUNTIF('Master Checklist'!N2:N470,"partially_compliant")</x:f>
        <x:v>0</x:v>
      </x:c>
    </x:row>
    <x:row r="10">
      <x:c r="A10" s="45" t="str">
        <x:v>Non-compliant controls</x:v>
      </x:c>
      <x:c r="B10" s="49" t="n">
        <x:f>COUNTIF('Master Checklist'!N2:N470,"non_compliant")</x:f>
        <x:v>0</x:v>
      </x:c>
    </x:row>
    <x:row r="11">
      <x:c r="A11" s="69" t="str">
        <x:v>Assessment progress (includes N/A)</x:v>
      </x:c>
      <x:c r="B11" s="81" t="n">
        <x:f>IF(B5=0,0,(B8+B9+B10+E8)/B5)</x:f>
        <x:v>0</x:v>
      </x:c>
    </x:row>
    <x:row r="12">
      <x:c r="A12" s="69" t="str">
        <x:v>Compliance rate (excludes N/A)</x:v>
      </x:c>
      <x:c r="B12" s="81" t="n">
        <x:f>IF((B8+B9+B10)=0,0,B8/(B8+B9+B10))</x:f>
        <x:v>0</x:v>
      </x:c>
    </x:row>
    <x:row r="13">
      <x:c r="A13" s="52" t="str">
        <x:v>How to use this workbook</x:v>
      </x:c>
      <x:c r="B13" s="52"/>
      <x:c r="C13" s="52"/>
      <x:c r="D13" s="52"/>
      <x:c r="E13" s="52"/>
      <x:c r="F13" s="52"/>
      <x:c r="G13" s="52"/>
      <x:c r="H13" s="52"/>
    </x:row>
    <x:row r="14">
      <x:c r="A14" s="56" t="str">
        <x:v>Use Master Checklist to record project-specific status, owner, evidence, due date, reviewer and exception justification. Definitions and control IDs come from the curated JSON catalogue. This workbook is a working tracker; it does not constitute certification or legal advice. Verify exact clauses against official editions before claiming conformity. Core = direct web/API/product control, Conditional = only when technology/industry/jurisdiction applies, Adjacent = supporting or related governance.</x:v>
      </x:c>
      <x:c r="B14" s="56"/>
      <x:c r="C14" s="56"/>
      <x:c r="D14" s="56"/>
      <x:c r="E14" s="56"/>
      <x:c r="F14" s="56"/>
      <x:c r="G14" s="56"/>
      <x:c r="H14" s="56"/>
    </x:row>
    <x:row r="15">
      <x:c r="A15" s="56"/>
      <x:c r="B15" s="56"/>
      <x:c r="C15" s="56"/>
      <x:c r="D15" s="56"/>
      <x:c r="E15" s="56"/>
      <x:c r="F15" s="56"/>
      <x:c r="G15" s="56"/>
      <x:c r="H15" s="56"/>
    </x:row>
    <x:row r="16">
      <x:c r="A16" s="56"/>
      <x:c r="B16" s="56"/>
      <x:c r="C16" s="56"/>
      <x:c r="D16" s="56"/>
      <x:c r="E16" s="56"/>
      <x:c r="F16" s="56"/>
      <x:c r="G16" s="56"/>
      <x:c r="H16" s="56"/>
    </x:row>
    <x:row r="18">
      <x:c r="A18" s="52" t="str">
        <x:v>Review discipline</x:v>
      </x:c>
      <x:c r="B18" s="52"/>
      <x:c r="C18" s="52"/>
      <x:c r="D18" s="52"/>
      <x:c r="E18" s="52"/>
      <x:c r="F18" s="52"/>
      <x:c r="G18" s="52"/>
      <x:c r="H18" s="52"/>
    </x:row>
    <x:row r="19">
      <x:c r="A19" s="56" t="str">
        <x:v>For statuses compliant / partially_compliant / non_compliant, attach evidence and an independent reviewer. Use not_applicable only with an explicit documented rationale. Record scope, assessment date, version, exclusions, limitations and evidence hashes. Do not set an item to compliant solely because a scanner did not find an issue.</x:v>
      </x:c>
      <x:c r="B19" s="56"/>
      <x:c r="C19" s="56"/>
      <x:c r="D19" s="56"/>
      <x:c r="E19" s="56"/>
      <x:c r="F19" s="56"/>
      <x:c r="G19" s="56"/>
      <x:c r="H19" s="56"/>
    </x:row>
    <x:row r="20">
      <x:c r="A20" s="56"/>
      <x:c r="B20" s="56"/>
      <x:c r="C20" s="56"/>
      <x:c r="D20" s="56"/>
      <x:c r="E20" s="56"/>
      <x:c r="F20" s="56"/>
      <x:c r="G20" s="56"/>
      <x:c r="H20" s="56"/>
    </x:row>
    <x:row r="21">
      <x:c r="A21" s="56"/>
      <x:c r="B21" s="56"/>
      <x:c r="C21" s="56"/>
      <x:c r="D21" s="56"/>
      <x:c r="E21" s="56"/>
      <x:c r="F21" s="56"/>
      <x:c r="G21" s="56"/>
      <x:c r="H21" s="56"/>
    </x:row>
    <x:row r="23">
      <x:c r="A23" s="62" t="str">
        <x:v>Note: curated crosswalk, not clause-complete or certification evidence. XLSX is a static offline snapshot; it does not sync with the live API/database.</x:v>
      </x:c>
      <x:c r="B23" s="62"/>
      <x:c r="C23" s="62"/>
      <x:c r="D23" s="62"/>
      <x:c r="E23" s="62"/>
      <x:c r="F23" s="62"/>
      <x:c r="G23" s="62"/>
      <x:c r="H23" s="62"/>
    </x:row>
  </x:sheetData>
  <x:mergeCells>
    <x:mergeCell ref="A1:H1"/>
    <x:mergeCell ref="A2:H2"/>
    <x:mergeCell ref="A13:H13"/>
    <x:mergeCell ref="A14:H16"/>
    <x:mergeCell ref="A18:H18"/>
    <x:mergeCell ref="A19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28" hidden="0" customWidth="1"/>
    <x:col min="4" max="4" width="46" hidden="0" customWidth="1"/>
    <x:col min="5" max="5" width="46" hidden="0" customWidth="1"/>
    <x:col min="6" max="6" width="38" hidden="0" customWidth="1"/>
    <x:col min="7" max="7" width="24" hidden="0" customWidth="1"/>
    <x:col min="8" max="8" width="10" hidden="0" customWidth="1"/>
    <x:col min="9" max="9" width="15" hidden="0" customWidth="1"/>
    <x:col min="10" max="10" width="15" hidden="0" customWidth="1"/>
    <x:col min="11" max="11" width="28" hidden="0" customWidth="1"/>
    <x:col min="12" max="12" width="42" hidden="0" customWidth="1"/>
    <x:col min="13" max="13" width="42" hidden="0" customWidth="1"/>
    <x:col min="14" max="14" width="20" hidden="0" customWidth="1"/>
    <x:col min="15" max="15" width="22" hidden="0" customWidth="1"/>
    <x:col min="16" max="16" width="14" hidden="0" customWidth="1"/>
    <x:col min="17" max="17" width="36" hidden="0" customWidth="1"/>
    <x:col min="18" max="18" width="38" hidden="0" customWidth="1"/>
    <x:col min="19" max="19" width="20" hidden="0" customWidth="1"/>
    <x:col min="20" max="20" width="15" hidden="0" customWidth="1"/>
    <x:col min="21" max="21" width="38" hidden="0" customWidth="1"/>
    <x:col min="22" max="22" width="10" hidden="0" customWidth="1"/>
  </x:cols>
  <x:sheetData>
    <x:row r="1" ht="34" customHeight="1">
      <x:c r="A1" s="6" t="str">
        <x:v>Control ID</x:v>
      </x:c>
      <x:c r="B1" s="6" t="str">
        <x:v>Domain ID</x:v>
      </x:c>
      <x:c r="C1" s="6" t="str">
        <x:v>Domain</x:v>
      </x:c>
      <x:c r="D1" s="6" t="str">
        <x:v>Requirement / Control Objective</x:v>
      </x:c>
      <x:c r="E1" s="6" t="str">
        <x:v>Acceptance Criteria</x:v>
      </x:c>
      <x:c r="F1" s="6" t="str">
        <x:v>Expected Evidence</x:v>
      </x:c>
      <x:c r="G1" s="6" t="str">
        <x:v>Verification Mode</x:v>
      </x:c>
      <x:c r="H1" s="6" t="str">
        <x:v>Priority</x:v>
      </x:c>
      <x:c r="I1" s="6" t="str">
        <x:v>Applicability</x:v>
      </x:c>
      <x:c r="J1" s="6" t="str">
        <x:v>Relationship</x:v>
      </x:c>
      <x:c r="K1" s="6" t="str">
        <x:v>Mapped Framework IDs</x:v>
      </x:c>
      <x:c r="L1" s="6" t="str">
        <x:v>Mapped Frameworks / Versions</x:v>
      </x:c>
      <x:c r="M1" s="6" t="str">
        <x:v>Official Source URLs</x:v>
      </x:c>
      <x:c r="N1" s="6" t="str">
        <x:v>Project Status</x:v>
      </x:c>
      <x:c r="O1" s="6" t="str">
        <x:v>Owner</x:v>
      </x:c>
      <x:c r="P1" s="6" t="str">
        <x:v>Due Date</x:v>
      </x:c>
      <x:c r="Q1" s="6" t="str">
        <x:v>Evidence URL</x:v>
      </x:c>
      <x:c r="R1" s="6" t="str">
        <x:v>Evidence Note</x:v>
      </x:c>
      <x:c r="S1" s="6" t="str">
        <x:v>Reviewer</x:v>
      </x:c>
      <x:c r="T1" s="6" t="str">
        <x:v>Last Reviewed</x:v>
      </x:c>
      <x:c r="U1" s="6" t="str">
        <x:v>Justification / Exception</x:v>
      </x:c>
      <x:c r="V1" s="6" t="str">
        <x:v>Revision</x:v>
      </x:c>
    </x:row>
    <x:row r="2">
      <x:c r="A2" s="16" t="str">
        <x:v>FWPRO-GOV-001</x:v>
      </x:c>
      <x:c r="B2" s="16" t="str">
        <x:v>GOV</x:v>
      </x:c>
      <x:c r="C2" s="16" t="str">
        <x:v>Governance, authorization and scope</x:v>
      </x:c>
      <x:c r="D2" s="16" t="str">
        <x:v>Obtain written authorization covering target owners, domains, IP ranges, ports, environments, test dates and permitted methods.</x:v>
      </x:c>
      <x:c r="E2" s="16" t="str">
        <x:v>An accountable owner/reviewer confirms the control using current artifacts or reproducible test steps; exceptions have rationale, approver, compensating control and expiry. Control objective: Obtain written authorization covering target owners, domains, IP ranges, ports, environments, test dates and permitted methods.</x:v>
      </x:c>
      <x:c r="F2" s="16" t="str">
        <x:v>Reviewer steps, expected/observed result, sanitized evidence, impact, reviewer and approval/ticket.</x:v>
      </x:c>
      <x:c r="G2" s="16" t="str">
        <x:v>manual_review</x:v>
      </x:c>
      <x:c r="H2" s="16" t="str">
        <x:v>P0</x:v>
      </x:c>
      <x:c r="I2" s="16" t="str">
        <x:v>core</x:v>
      </x:c>
      <x:c r="J2" s="16" t="str">
        <x:v>direct; supporting | direct; supporting</x:v>
      </x:c>
      <x:c r="K2" s="16" t="str">
        <x:v>OWASP_WSTG; NIST_800_115; NIST_CSF; ISO27001; ISO31000; CIS_CONTROLS</x:v>
      </x:c>
      <x:c r="L2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2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2" s="16" t="str">
        <x:v>not_assessed</x:v>
      </x:c>
      <x:c r="O2" s="16" t="str"/>
      <x:c r="P2" s="18" t="str"/>
      <x:c r="Q2" s="16" t="str"/>
      <x:c r="R2" s="16" t="str"/>
      <x:c r="S2" s="16" t="str"/>
      <x:c r="T2" s="18" t="str"/>
      <x:c r="U2" s="16" t="str"/>
      <x:c r="V2" s="16" t="n">
        <x:v>0</x:v>
      </x:c>
    </x:row>
    <x:row r="3">
      <x:c r="A3" s="16" t="str">
        <x:v>FWPRO-GOV-002</x:v>
      </x:c>
      <x:c r="B3" s="16" t="str">
        <x:v>GOV</x:v>
      </x:c>
      <x:c r="C3" s="16" t="str">
        <x:v>Governance, authorization and scope</x:v>
      </x:c>
      <x:c r="D3" s="16" t="str">
        <x:v>Maintain a signed scope register with explicit inclusions, exclusions, emergency contacts and approval expiry.</x:v>
      </x:c>
      <x:c r="E3" s="16" t="str">
        <x:v>An accountable owner/reviewer confirms the control using current artifacts or reproducible test steps; exceptions have rationale, approver, compensating control and expiry. Control objective: Maintain a signed scope register with explicit inclusions, exclusions, emergency contacts and approval expiry.</x:v>
      </x:c>
      <x:c r="F3" s="16" t="str">
        <x:v>Reviewer steps, expected/observed result, sanitized evidence, impact, reviewer and approval/ticket.</x:v>
      </x:c>
      <x:c r="G3" s="16" t="str">
        <x:v>manual_review</x:v>
      </x:c>
      <x:c r="H3" s="16" t="str">
        <x:v>P0</x:v>
      </x:c>
      <x:c r="I3" s="16" t="str">
        <x:v>core</x:v>
      </x:c>
      <x:c r="J3" s="16" t="str">
        <x:v>direct; supporting | direct; supporting</x:v>
      </x:c>
      <x:c r="K3" s="16" t="str">
        <x:v>OWASP_WSTG; NIST_800_115; NIST_CSF; ISO27001; ISO31000; CIS_CONTROLS</x:v>
      </x:c>
      <x:c r="L3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3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3" s="16" t="str">
        <x:v>not_assessed</x:v>
      </x:c>
      <x:c r="O3" s="16" t="str"/>
      <x:c r="P3" s="18" t="str"/>
      <x:c r="Q3" s="16" t="str"/>
      <x:c r="R3" s="16" t="str"/>
      <x:c r="S3" s="16" t="str"/>
      <x:c r="T3" s="18" t="str"/>
      <x:c r="U3" s="16" t="str"/>
      <x:c r="V3" s="16" t="n">
        <x:v>0</x:v>
      </x:c>
    </x:row>
    <x:row r="4">
      <x:c r="A4" s="16" t="str">
        <x:v>FWPRO-GOV-003</x:v>
      </x:c>
      <x:c r="B4" s="16" t="str">
        <x:v>GOV</x:v>
      </x:c>
      <x:c r="C4" s="16" t="str">
        <x:v>Governance, authorization and scope</x:v>
      </x:c>
      <x:c r="D4" s="16" t="str">
        <x:v>Require explicit authorization acknowledgement before any scan job can enter the active queue.</x:v>
      </x:c>
      <x:c r="E4" s="16" t="str">
        <x:v>An accountable owner/reviewer confirms the control using current artifacts or reproducible test steps; exceptions have rationale, approver, compensating control and expiry. Control objective: Require explicit authorization acknowledgement before any scan job can enter the active queue.</x:v>
      </x:c>
      <x:c r="F4" s="16" t="str">
        <x:v>Reviewer steps, expected/observed result, sanitized evidence, impact, reviewer and approval/ticket.</x:v>
      </x:c>
      <x:c r="G4" s="16" t="str">
        <x:v>manual_review</x:v>
      </x:c>
      <x:c r="H4" s="16" t="str">
        <x:v>P0</x:v>
      </x:c>
      <x:c r="I4" s="16" t="str">
        <x:v>core</x:v>
      </x:c>
      <x:c r="J4" s="16" t="str">
        <x:v>direct; supporting | direct; supporting</x:v>
      </x:c>
      <x:c r="K4" s="16" t="str">
        <x:v>OWASP_WSTG; NIST_800_115; NIST_CSF; ISO27001; ISO31000; CIS_CONTROLS</x:v>
      </x:c>
      <x:c r="L4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4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4" s="16" t="str">
        <x:v>not_assessed</x:v>
      </x:c>
      <x:c r="O4" s="16" t="str"/>
      <x:c r="P4" s="18" t="str"/>
      <x:c r="Q4" s="16" t="str"/>
      <x:c r="R4" s="16" t="str"/>
      <x:c r="S4" s="16" t="str"/>
      <x:c r="T4" s="18" t="str"/>
      <x:c r="U4" s="16" t="str"/>
      <x:c r="V4" s="16" t="n">
        <x:v>0</x:v>
      </x:c>
    </x:row>
    <x:row r="5">
      <x:c r="A5" s="16" t="str">
        <x:v>FWPRO-GOV-004</x:v>
      </x:c>
      <x:c r="B5" s="16" t="str">
        <x:v>GOV</x:v>
      </x:c>
      <x:c r="C5" s="16" t="str">
        <x:v>Governance, authorization and scope</x:v>
      </x:c>
      <x:c r="D5" s="16" t="str">
        <x:v>Define prohibited actions including destructive writes, credential attacks, denial of service and production data mutation.</x:v>
      </x:c>
      <x:c r="E5" s="16" t="str">
        <x:v>An accountable owner/reviewer confirms the control using current artifacts or reproducible test steps; exceptions have rationale, approver, compensating control and expiry. Control objective: Define prohibited actions including destructive writes, credential attacks, denial of service and production data mutation.</x:v>
      </x:c>
      <x:c r="F5" s="16" t="str">
        <x:v>Reviewer steps, expected/observed result, sanitized evidence, impact, reviewer and approval/ticket.</x:v>
      </x:c>
      <x:c r="G5" s="16" t="str">
        <x:v>manual_review</x:v>
      </x:c>
      <x:c r="H5" s="16" t="str">
        <x:v>P0</x:v>
      </x:c>
      <x:c r="I5" s="16" t="str">
        <x:v>core</x:v>
      </x:c>
      <x:c r="J5" s="16" t="str">
        <x:v>direct; supporting | direct; supporting</x:v>
      </x:c>
      <x:c r="K5" s="16" t="str">
        <x:v>OWASP_WSTG; NIST_800_115; NIST_CSF; ISO27001; ISO31000; CIS_CONTROLS</x:v>
      </x:c>
      <x:c r="L5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5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5" s="16" t="str">
        <x:v>not_assessed</x:v>
      </x:c>
      <x:c r="O5" s="16" t="str"/>
      <x:c r="P5" s="18" t="str"/>
      <x:c r="Q5" s="16" t="str"/>
      <x:c r="R5" s="16" t="str"/>
      <x:c r="S5" s="16" t="str"/>
      <x:c r="T5" s="18" t="str"/>
      <x:c r="U5" s="16" t="str"/>
      <x:c r="V5" s="16" t="n">
        <x:v>0</x:v>
      </x:c>
    </x:row>
    <x:row r="6">
      <x:c r="A6" s="16" t="str">
        <x:v>FWPRO-GOV-005</x:v>
      </x:c>
      <x:c r="B6" s="16" t="str">
        <x:v>GOV</x:v>
      </x:c>
      <x:c r="C6" s="16" t="str">
        <x:v>Governance, authorization and scope</x:v>
      </x:c>
      <x:c r="D6" s="16" t="str">
        <x:v>Document third-party hosting, CDN, SaaS and processor permissions before testing their assets.</x:v>
      </x:c>
      <x:c r="E6" s="16" t="str">
        <x:v>An accountable owner/reviewer confirms the control using current artifacts or reproducible test steps; exceptions have rationale, approver, compensating control and expiry. Control objective: Document third-party hosting, CDN, SaaS and processor permissions before testing their assets.</x:v>
      </x:c>
      <x:c r="F6" s="16" t="str">
        <x:v>Reviewer steps, expected/observed result, sanitized evidence, impact, reviewer and approval/ticket.</x:v>
      </x:c>
      <x:c r="G6" s="16" t="str">
        <x:v>manual_review</x:v>
      </x:c>
      <x:c r="H6" s="16" t="str">
        <x:v>P0</x:v>
      </x:c>
      <x:c r="I6" s="16" t="str">
        <x:v>core</x:v>
      </x:c>
      <x:c r="J6" s="16" t="str">
        <x:v>direct; supporting | direct; supporting</x:v>
      </x:c>
      <x:c r="K6" s="16" t="str">
        <x:v>OWASP_WSTG; NIST_800_115; NIST_CSF; ISO27001; ISO31000; CIS_CONTROLS</x:v>
      </x:c>
      <x:c r="L6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6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6" s="16" t="str">
        <x:v>not_assessed</x:v>
      </x:c>
      <x:c r="O6" s="16" t="str"/>
      <x:c r="P6" s="18" t="str"/>
      <x:c r="Q6" s="16" t="str"/>
      <x:c r="R6" s="16" t="str"/>
      <x:c r="S6" s="16" t="str"/>
      <x:c r="T6" s="18" t="str"/>
      <x:c r="U6" s="16" t="str"/>
      <x:c r="V6" s="16" t="n">
        <x:v>0</x:v>
      </x:c>
    </x:row>
    <x:row r="7">
      <x:c r="A7" s="16" t="str">
        <x:v>FWPRO-GOV-006</x:v>
      </x:c>
      <x:c r="B7" s="16" t="str">
        <x:v>GOV</x:v>
      </x:c>
      <x:c r="C7" s="16" t="str">
        <x:v>Governance, authorization and scope</x:v>
      </x:c>
      <x:c r="D7" s="16" t="str">
        <x:v>Set an approved testing window, time zone, notification path and stop condition for each engagement.</x:v>
      </x:c>
      <x:c r="E7" s="16" t="str">
        <x:v>An accountable owner/reviewer confirms the control using current artifacts or reproducible test steps; exceptions have rationale, approver, compensating control and expiry. Control objective: Set an approved testing window, time zone, notification path and stop condition for each engagement.</x:v>
      </x:c>
      <x:c r="F7" s="16" t="str">
        <x:v>Reviewer steps, expected/observed result, sanitized evidence, impact, reviewer and approval/ticket.</x:v>
      </x:c>
      <x:c r="G7" s="16" t="str">
        <x:v>manual_review</x:v>
      </x:c>
      <x:c r="H7" s="16" t="str">
        <x:v>P0</x:v>
      </x:c>
      <x:c r="I7" s="16" t="str">
        <x:v>core</x:v>
      </x:c>
      <x:c r="J7" s="16" t="str">
        <x:v>direct; supporting | direct; supporting</x:v>
      </x:c>
      <x:c r="K7" s="16" t="str">
        <x:v>OWASP_WSTG; NIST_800_115; NIST_CSF; ISO27001; ISO31000; CIS_CONTROLS</x:v>
      </x:c>
      <x:c r="L7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7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7" s="16" t="str">
        <x:v>not_assessed</x:v>
      </x:c>
      <x:c r="O7" s="16" t="str"/>
      <x:c r="P7" s="18" t="str"/>
      <x:c r="Q7" s="16" t="str"/>
      <x:c r="R7" s="16" t="str"/>
      <x:c r="S7" s="16" t="str"/>
      <x:c r="T7" s="18" t="str"/>
      <x:c r="U7" s="16" t="str"/>
      <x:c r="V7" s="16" t="n">
        <x:v>0</x:v>
      </x:c>
    </x:row>
    <x:row r="8">
      <x:c r="A8" s="16" t="str">
        <x:v>FWPRO-GOV-007</x:v>
      </x:c>
      <x:c r="B8" s="16" t="str">
        <x:v>GOV</x:v>
      </x:c>
      <x:c r="C8" s="16" t="str">
        <x:v>Governance, authorization and scope</x:v>
      </x:c>
      <x:c r="D8" s="16" t="str">
        <x:v>Record the business owner, technical owner, tester, reviewer and incident contact for every assessment.</x:v>
      </x:c>
      <x:c r="E8" s="16" t="str">
        <x:v>An accountable owner/reviewer confirms the control using current artifacts or reproducible test steps; exceptions have rationale, approver, compensating control and expiry. Control objective: Record the business owner, technical owner, tester, reviewer and incident contact for every assessment.</x:v>
      </x:c>
      <x:c r="F8" s="16" t="str">
        <x:v>Reviewer steps, expected/observed result, sanitized evidence, impact, reviewer and approval/ticket.</x:v>
      </x:c>
      <x:c r="G8" s="16" t="str">
        <x:v>manual_review</x:v>
      </x:c>
      <x:c r="H8" s="16" t="str">
        <x:v>P0</x:v>
      </x:c>
      <x:c r="I8" s="16" t="str">
        <x:v>core</x:v>
      </x:c>
      <x:c r="J8" s="16" t="str">
        <x:v>direct; supporting | direct; supporting</x:v>
      </x:c>
      <x:c r="K8" s="16" t="str">
        <x:v>OWASP_WSTG; NIST_800_115; NIST_CSF; ISO27001; ISO31000; CIS_CONTROLS</x:v>
      </x:c>
      <x:c r="L8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8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8" s="16" t="str">
        <x:v>not_assessed</x:v>
      </x:c>
      <x:c r="O8" s="16" t="str"/>
      <x:c r="P8" s="18" t="str"/>
      <x:c r="Q8" s="16" t="str"/>
      <x:c r="R8" s="16" t="str"/>
      <x:c r="S8" s="16" t="str"/>
      <x:c r="T8" s="18" t="str"/>
      <x:c r="U8" s="16" t="str"/>
      <x:c r="V8" s="16" t="n">
        <x:v>0</x:v>
      </x:c>
    </x:row>
    <x:row r="9">
      <x:c r="A9" s="16" t="str">
        <x:v>FWPRO-GOV-008</x:v>
      </x:c>
      <x:c r="B9" s="16" t="str">
        <x:v>GOV</x:v>
      </x:c>
      <x:c r="C9" s="16" t="str">
        <x:v>Governance, authorization and scope</x:v>
      </x:c>
      <x:c r="D9" s="16" t="str">
        <x:v>Define an escalation workflow for suspected critical exposure or accidental sensitive-data discovery.</x:v>
      </x:c>
      <x:c r="E9" s="16" t="str">
        <x:v>An accountable owner/reviewer confirms the control using current artifacts or reproducible test steps; exceptions have rationale, approver, compensating control and expiry. Control objective: Define an escalation workflow for suspected critical exposure or accidental sensitive-data discovery.</x:v>
      </x:c>
      <x:c r="F9" s="16" t="str">
        <x:v>Reviewer steps, expected/observed result, sanitized evidence, impact, reviewer and approval/ticket.</x:v>
      </x:c>
      <x:c r="G9" s="16" t="str">
        <x:v>manual_review</x:v>
      </x:c>
      <x:c r="H9" s="16" t="str">
        <x:v>P0</x:v>
      </x:c>
      <x:c r="I9" s="16" t="str">
        <x:v>core</x:v>
      </x:c>
      <x:c r="J9" s="16" t="str">
        <x:v>direct; supporting | direct; supporting</x:v>
      </x:c>
      <x:c r="K9" s="16" t="str">
        <x:v>OWASP_WSTG; NIST_800_115; NIST_CSF; ISO27001; ISO31000; CIS_CONTROLS</x:v>
      </x:c>
      <x:c r="L9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9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9" s="16" t="str">
        <x:v>not_assessed</x:v>
      </x:c>
      <x:c r="O9" s="16" t="str"/>
      <x:c r="P9" s="18" t="str"/>
      <x:c r="Q9" s="16" t="str"/>
      <x:c r="R9" s="16" t="str"/>
      <x:c r="S9" s="16" t="str"/>
      <x:c r="T9" s="18" t="str"/>
      <x:c r="U9" s="16" t="str"/>
      <x:c r="V9" s="16" t="n">
        <x:v>0</x:v>
      </x:c>
    </x:row>
    <x:row r="10">
      <x:c r="A10" s="16" t="str">
        <x:v>FWPRO-GOV-009</x:v>
      </x:c>
      <x:c r="B10" s="16" t="str">
        <x:v>GOV</x:v>
      </x:c>
      <x:c r="C10" s="16" t="str">
        <x:v>Governance, authorization and scope</x:v>
      </x:c>
      <x:c r="D10" s="16" t="str">
        <x:v>Use least-privileged, dedicated test identities and never request production user passwords.</x:v>
      </x:c>
      <x:c r="E10" s="16" t="str">
        <x:v>An accountable owner/reviewer confirms the control using current artifacts or reproducible test steps; exceptions have rationale, approver, compensating control and expiry. Control objective: Use least-privileged, dedicated test identities and never request production user passwords.</x:v>
      </x:c>
      <x:c r="F10" s="16" t="str">
        <x:v>Reviewer steps, expected/observed result, sanitized evidence, impact, reviewer and approval/ticket.</x:v>
      </x:c>
      <x:c r="G10" s="16" t="str">
        <x:v>manual_review</x:v>
      </x:c>
      <x:c r="H10" s="16" t="str">
        <x:v>P0</x:v>
      </x:c>
      <x:c r="I10" s="16" t="str">
        <x:v>core</x:v>
      </x:c>
      <x:c r="J10" s="16" t="str">
        <x:v>direct; supporting | direct; supporting</x:v>
      </x:c>
      <x:c r="K10" s="16" t="str">
        <x:v>OWASP_WSTG; NIST_800_115; NIST_CSF; ISO27001; ISO31000; CIS_CONTROLS</x:v>
      </x:c>
      <x:c r="L10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0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0" s="16" t="str">
        <x:v>not_assessed</x:v>
      </x:c>
      <x:c r="O10" s="16" t="str"/>
      <x:c r="P10" s="18" t="str"/>
      <x:c r="Q10" s="16" t="str"/>
      <x:c r="R10" s="16" t="str"/>
      <x:c r="S10" s="16" t="str"/>
      <x:c r="T10" s="18" t="str"/>
      <x:c r="U10" s="16" t="str"/>
      <x:c r="V10" s="16" t="n">
        <x:v>0</x:v>
      </x:c>
    </x:row>
    <x:row r="11">
      <x:c r="A11" s="16" t="str">
        <x:v>FWPRO-GOV-010</x:v>
      </x:c>
      <x:c r="B11" s="16" t="str">
        <x:v>GOV</x:v>
      </x:c>
      <x:c r="C11" s="16" t="str">
        <x:v>Governance, authorization and scope</x:v>
      </x:c>
      <x:c r="D11" s="16" t="str">
        <x:v>Retain evidence of scope approval and any scope-change authorization in an auditable location.</x:v>
      </x:c>
      <x:c r="E11" s="16" t="str">
        <x:v>An accountable owner/reviewer confirms the control using current artifacts or reproducible test steps; exceptions have rationale, approver, compensating control and expiry. Control objective: Retain evidence of scope approval and any scope-change authorization in an auditable location.</x:v>
      </x:c>
      <x:c r="F11" s="16" t="str">
        <x:v>Reviewer steps, expected/observed result, sanitized evidence, impact, reviewer and approval/ticket.</x:v>
      </x:c>
      <x:c r="G11" s="16" t="str">
        <x:v>manual_review</x:v>
      </x:c>
      <x:c r="H11" s="16" t="str">
        <x:v>P0</x:v>
      </x:c>
      <x:c r="I11" s="16" t="str">
        <x:v>core</x:v>
      </x:c>
      <x:c r="J11" s="16" t="str">
        <x:v>direct; supporting | direct; supporting</x:v>
      </x:c>
      <x:c r="K11" s="16" t="str">
        <x:v>OWASP_WSTG; NIST_800_115; NIST_CSF; ISO27001; ISO31000; CIS_CONTROLS</x:v>
      </x:c>
      <x:c r="L11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1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1" s="16" t="str">
        <x:v>not_assessed</x:v>
      </x:c>
      <x:c r="O11" s="16" t="str"/>
      <x:c r="P11" s="18" t="str"/>
      <x:c r="Q11" s="16" t="str"/>
      <x:c r="R11" s="16" t="str"/>
      <x:c r="S11" s="16" t="str"/>
      <x:c r="T11" s="18" t="str"/>
      <x:c r="U11" s="16" t="str"/>
      <x:c r="V11" s="16" t="n">
        <x:v>0</x:v>
      </x:c>
    </x:row>
    <x:row r="12">
      <x:c r="A12" s="16" t="str">
        <x:v>FWPRO-GOV-011</x:v>
      </x:c>
      <x:c r="B12" s="16" t="str">
        <x:v>GOV</x:v>
      </x:c>
      <x:c r="C12" s="16" t="str">
        <x:v>Governance, authorization and scope</x:v>
      </x:c>
      <x:c r="D12" s="16" t="str">
        <x:v>Define data handling, retention, deletion and report-sharing terms before collection begins.</x:v>
      </x:c>
      <x:c r="E12" s="16" t="str">
        <x:v>An accountable owner/reviewer confirms the control using current artifacts or reproducible test steps; exceptions have rationale, approver, compensating control and expiry. Control objective: Define data handling, retention, deletion and report-sharing terms before collection begins.</x:v>
      </x:c>
      <x:c r="F12" s="16" t="str">
        <x:v>Reviewer steps, expected/observed result, sanitized evidence, impact, reviewer and approval/ticket.</x:v>
      </x:c>
      <x:c r="G12" s="16" t="str">
        <x:v>manual_review</x:v>
      </x:c>
      <x:c r="H12" s="16" t="str">
        <x:v>P0</x:v>
      </x:c>
      <x:c r="I12" s="16" t="str">
        <x:v>core</x:v>
      </x:c>
      <x:c r="J12" s="16" t="str">
        <x:v>direct; supporting | direct; supporting</x:v>
      </x:c>
      <x:c r="K12" s="16" t="str">
        <x:v>OWASP_WSTG; NIST_800_115; NIST_CSF; ISO27001; ISO31000; CIS_CONTROLS</x:v>
      </x:c>
      <x:c r="L12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2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2" s="16" t="str">
        <x:v>not_assessed</x:v>
      </x:c>
      <x:c r="O12" s="16" t="str"/>
      <x:c r="P12" s="18" t="str"/>
      <x:c r="Q12" s="16" t="str"/>
      <x:c r="R12" s="16" t="str"/>
      <x:c r="S12" s="16" t="str"/>
      <x:c r="T12" s="18" t="str"/>
      <x:c r="U12" s="16" t="str"/>
      <x:c r="V12" s="16" t="n">
        <x:v>0</x:v>
      </x:c>
    </x:row>
    <x:row r="13">
      <x:c r="A13" s="16" t="str">
        <x:v>FWPRO-GOV-012</x:v>
      </x:c>
      <x:c r="B13" s="16" t="str">
        <x:v>GOV</x:v>
      </x:c>
      <x:c r="C13" s="16" t="str">
        <x:v>Governance, authorization and scope</x:v>
      </x:c>
      <x:c r="D13" s="16" t="str">
        <x:v>Review legal/regulatory restrictions and regional data-transfer requirements before scanning.</x:v>
      </x:c>
      <x:c r="E13" s="16" t="str">
        <x:v>An accountable owner/reviewer confirms the control using current artifacts or reproducible test steps; exceptions have rationale, approver, compensating control and expiry. Control objective: Review legal/regulatory restrictions and regional data-transfer requirements before scanning.</x:v>
      </x:c>
      <x:c r="F13" s="16" t="str">
        <x:v>Reviewer steps, expected/observed result, sanitized evidence, impact, reviewer and approval/ticket.</x:v>
      </x:c>
      <x:c r="G13" s="16" t="str">
        <x:v>manual_review</x:v>
      </x:c>
      <x:c r="H13" s="16" t="str">
        <x:v>P0</x:v>
      </x:c>
      <x:c r="I13" s="16" t="str">
        <x:v>core</x:v>
      </x:c>
      <x:c r="J13" s="16" t="str">
        <x:v>direct; supporting | direct; supporting</x:v>
      </x:c>
      <x:c r="K13" s="16" t="str">
        <x:v>OWASP_WSTG; NIST_800_115; NIST_CSF; ISO27001; ISO31000; CIS_CONTROLS</x:v>
      </x:c>
      <x:c r="L13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3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3" s="16" t="str">
        <x:v>not_assessed</x:v>
      </x:c>
      <x:c r="O13" s="16" t="str"/>
      <x:c r="P13" s="18" t="str"/>
      <x:c r="Q13" s="16" t="str"/>
      <x:c r="R13" s="16" t="str"/>
      <x:c r="S13" s="16" t="str"/>
      <x:c r="T13" s="18" t="str"/>
      <x:c r="U13" s="16" t="str"/>
      <x:c r="V13" s="16" t="n">
        <x:v>0</x:v>
      </x:c>
    </x:row>
    <x:row r="14">
      <x:c r="A14" s="16" t="str">
        <x:v>FWPRO-GOV-013</x:v>
      </x:c>
      <x:c r="B14" s="16" t="str">
        <x:v>GOV</x:v>
      </x:c>
      <x:c r="C14" s="16" t="str">
        <x:v>Governance, authorization and scope</x:v>
      </x:c>
      <x:c r="D14" s="16" t="str">
        <x:v>Record target ownership verification and resolve ambiguous host ownership before testing.</x:v>
      </x:c>
      <x:c r="E14" s="16" t="str">
        <x:v>An accountable owner/reviewer confirms the control using current artifacts or reproducible test steps; exceptions have rationale, approver, compensating control and expiry. Control objective: Record target ownership verification and resolve ambiguous host ownership before testing.</x:v>
      </x:c>
      <x:c r="F14" s="16" t="str">
        <x:v>Reviewer steps, expected/observed result, sanitized evidence, impact, reviewer and approval/ticket.</x:v>
      </x:c>
      <x:c r="G14" s="16" t="str">
        <x:v>manual_review</x:v>
      </x:c>
      <x:c r="H14" s="16" t="str">
        <x:v>P0</x:v>
      </x:c>
      <x:c r="I14" s="16" t="str">
        <x:v>core</x:v>
      </x:c>
      <x:c r="J14" s="16" t="str">
        <x:v>direct; supporting | direct; supporting</x:v>
      </x:c>
      <x:c r="K14" s="16" t="str">
        <x:v>OWASP_WSTG; NIST_800_115; NIST_CSF; ISO27001; ISO31000; CIS_CONTROLS</x:v>
      </x:c>
      <x:c r="L14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4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4" s="16" t="str">
        <x:v>not_assessed</x:v>
      </x:c>
      <x:c r="O14" s="16" t="str"/>
      <x:c r="P14" s="18" t="str"/>
      <x:c r="Q14" s="16" t="str"/>
      <x:c r="R14" s="16" t="str"/>
      <x:c r="S14" s="16" t="str"/>
      <x:c r="T14" s="18" t="str"/>
      <x:c r="U14" s="16" t="str"/>
      <x:c r="V14" s="16" t="n">
        <x:v>0</x:v>
      </x:c>
    </x:row>
    <x:row r="15">
      <x:c r="A15" s="16" t="str">
        <x:v>FWPRO-GOV-014</x:v>
      </x:c>
      <x:c r="B15" s="16" t="str">
        <x:v>GOV</x:v>
      </x:c>
      <x:c r="C15" s="16" t="str">
        <x:v>Governance, authorization and scope</x:v>
      </x:c>
      <x:c r="D15" s="16" t="str">
        <x:v>Re-confirm scope when DNS, hosting, domain ownership or target environment changes materially.</x:v>
      </x:c>
      <x:c r="E15" s="16" t="str">
        <x:v>An accountable owner/reviewer confirms the control using current artifacts or reproducible test steps; exceptions have rationale, approver, compensating control and expiry. Control objective: Re-confirm scope when DNS, hosting, domain ownership or target environment changes materially.</x:v>
      </x:c>
      <x:c r="F15" s="16" t="str">
        <x:v>Reviewer steps, expected/observed result, sanitized evidence, impact, reviewer and approval/ticket.</x:v>
      </x:c>
      <x:c r="G15" s="16" t="str">
        <x:v>manual_review</x:v>
      </x:c>
      <x:c r="H15" s="16" t="str">
        <x:v>P0</x:v>
      </x:c>
      <x:c r="I15" s="16" t="str">
        <x:v>core</x:v>
      </x:c>
      <x:c r="J15" s="16" t="str">
        <x:v>direct; supporting | direct; supporting</x:v>
      </x:c>
      <x:c r="K15" s="16" t="str">
        <x:v>OWASP_WSTG; NIST_800_115; NIST_CSF; ISO27001; ISO31000; CIS_CONTROLS</x:v>
      </x:c>
      <x:c r="L15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5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5" s="16" t="str">
        <x:v>not_assessed</x:v>
      </x:c>
      <x:c r="O15" s="16" t="str"/>
      <x:c r="P15" s="18" t="str"/>
      <x:c r="Q15" s="16" t="str"/>
      <x:c r="R15" s="16" t="str"/>
      <x:c r="S15" s="16" t="str"/>
      <x:c r="T15" s="18" t="str"/>
      <x:c r="U15" s="16" t="str"/>
      <x:c r="V15" s="16" t="n">
        <x:v>0</x:v>
      </x:c>
    </x:row>
    <x:row r="16">
      <x:c r="A16" s="16" t="str">
        <x:v>FWPRO-GOV-015</x:v>
      </x:c>
      <x:c r="B16" s="16" t="str">
        <x:v>GOV</x:v>
      </x:c>
      <x:c r="C16" s="16" t="str">
        <x:v>Governance, authorization and scope</x:v>
      </x:c>
      <x:c r="D16" s="16" t="str">
        <x:v>Define criteria for pausing or terminating a scan due to instability, rate-limit signals or owner request.</x:v>
      </x:c>
      <x:c r="E16" s="16" t="str">
        <x:v>An accountable owner/reviewer confirms the control using current artifacts or reproducible test steps; exceptions have rationale, approver, compensating control and expiry. Control objective: Define criteria for pausing or terminating a scan due to instability, rate-limit signals or owner request.</x:v>
      </x:c>
      <x:c r="F16" s="16" t="str">
        <x:v>Reviewer steps, expected/observed result, sanitized evidence, impact, reviewer and approval/ticket.</x:v>
      </x:c>
      <x:c r="G16" s="16" t="str">
        <x:v>manual_review</x:v>
      </x:c>
      <x:c r="H16" s="16" t="str">
        <x:v>P0</x:v>
      </x:c>
      <x:c r="I16" s="16" t="str">
        <x:v>core</x:v>
      </x:c>
      <x:c r="J16" s="16" t="str">
        <x:v>direct; supporting | direct; supporting</x:v>
      </x:c>
      <x:c r="K16" s="16" t="str">
        <x:v>OWASP_WSTG; NIST_800_115; NIST_CSF; ISO27001; ISO31000; CIS_CONTROLS</x:v>
      </x:c>
      <x:c r="L16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6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6" s="16" t="str">
        <x:v>not_assessed</x:v>
      </x:c>
      <x:c r="O16" s="16" t="str"/>
      <x:c r="P16" s="18" t="str"/>
      <x:c r="Q16" s="16" t="str"/>
      <x:c r="R16" s="16" t="str"/>
      <x:c r="S16" s="16" t="str"/>
      <x:c r="T16" s="18" t="str"/>
      <x:c r="U16" s="16" t="str"/>
      <x:c r="V16" s="16" t="n">
        <x:v>0</x:v>
      </x:c>
    </x:row>
    <x:row r="17">
      <x:c r="A17" s="16" t="str">
        <x:v>FWPRO-GOV-016</x:v>
      </x:c>
      <x:c r="B17" s="16" t="str">
        <x:v>GOV</x:v>
      </x:c>
      <x:c r="C17" s="16" t="str">
        <x:v>Governance, authorization and scope</x:v>
      </x:c>
      <x:c r="D17" s="16" t="str">
        <x:v>Document accepted risks with rationale, approver, compensating controls and expiration date.</x:v>
      </x:c>
      <x:c r="E17" s="16" t="str">
        <x:v>An accountable owner/reviewer confirms the control using current artifacts or reproducible test steps; exceptions have rationale, approver, compensating control and expiry. Control objective: Document accepted risks with rationale, approver, compensating controls and expiration date.</x:v>
      </x:c>
      <x:c r="F17" s="16" t="str">
        <x:v>Reviewer steps, expected/observed result, sanitized evidence, impact, reviewer and approval/ticket.</x:v>
      </x:c>
      <x:c r="G17" s="16" t="str">
        <x:v>manual_review</x:v>
      </x:c>
      <x:c r="H17" s="16" t="str">
        <x:v>P0</x:v>
      </x:c>
      <x:c r="I17" s="16" t="str">
        <x:v>core</x:v>
      </x:c>
      <x:c r="J17" s="16" t="str">
        <x:v>direct; supporting | direct; supporting</x:v>
      </x:c>
      <x:c r="K17" s="16" t="str">
        <x:v>OWASP_WSTG; NIST_800_115; NIST_CSF; ISO27001; ISO31000; CIS_CONTROLS</x:v>
      </x:c>
      <x:c r="L17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7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7" s="16" t="str">
        <x:v>not_assessed</x:v>
      </x:c>
      <x:c r="O17" s="16" t="str"/>
      <x:c r="P17" s="18" t="str"/>
      <x:c r="Q17" s="16" t="str"/>
      <x:c r="R17" s="16" t="str"/>
      <x:c r="S17" s="16" t="str"/>
      <x:c r="T17" s="18" t="str"/>
      <x:c r="U17" s="16" t="str"/>
      <x:c r="V17" s="16" t="n">
        <x:v>0</x:v>
      </x:c>
    </x:row>
    <x:row r="18">
      <x:c r="A18" s="16" t="str">
        <x:v>FWPRO-GOV-017</x:v>
      </x:c>
      <x:c r="B18" s="16" t="str">
        <x:v>GOV</x:v>
      </x:c>
      <x:c r="C18" s="16" t="str">
        <x:v>Governance, authorization and scope</x:v>
      </x:c>
      <x:c r="D18" s="16" t="str">
        <x:v>Separate assessment permissions from production administration permissions.</x:v>
      </x:c>
      <x:c r="E18" s="16" t="str">
        <x:v>An accountable owner/reviewer confirms the control using current artifacts or reproducible test steps; exceptions have rationale, approver, compensating control and expiry. Control objective: Separate assessment permissions from production administration permissions.</x:v>
      </x:c>
      <x:c r="F18" s="16" t="str">
        <x:v>Reviewer steps, expected/observed result, sanitized evidence, impact, reviewer and approval/ticket.</x:v>
      </x:c>
      <x:c r="G18" s="16" t="str">
        <x:v>manual_review</x:v>
      </x:c>
      <x:c r="H18" s="16" t="str">
        <x:v>P0</x:v>
      </x:c>
      <x:c r="I18" s="16" t="str">
        <x:v>core</x:v>
      </x:c>
      <x:c r="J18" s="16" t="str">
        <x:v>direct; supporting | direct; supporting</x:v>
      </x:c>
      <x:c r="K18" s="16" t="str">
        <x:v>OWASP_WSTG; NIST_800_115; NIST_CSF; ISO27001; ISO31000; CIS_CONTROLS</x:v>
      </x:c>
      <x:c r="L18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8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8" s="16" t="str">
        <x:v>not_assessed</x:v>
      </x:c>
      <x:c r="O18" s="16" t="str"/>
      <x:c r="P18" s="18" t="str"/>
      <x:c r="Q18" s="16" t="str"/>
      <x:c r="R18" s="16" t="str"/>
      <x:c r="S18" s="16" t="str"/>
      <x:c r="T18" s="18" t="str"/>
      <x:c r="U18" s="16" t="str"/>
      <x:c r="V18" s="16" t="n">
        <x:v>0</x:v>
      </x:c>
    </x:row>
    <x:row r="19">
      <x:c r="A19" s="16" t="str">
        <x:v>FWPRO-GOV-018</x:v>
      </x:c>
      <x:c r="B19" s="16" t="str">
        <x:v>GOV</x:v>
      </x:c>
      <x:c r="C19" s="16" t="str">
        <x:v>Governance, authorization and scope</x:v>
      </x:c>
      <x:c r="D19" s="16" t="str">
        <x:v>Document the assessment methodology, coverage limits, assumptions and known blind spots.</x:v>
      </x:c>
      <x:c r="E19" s="16" t="str">
        <x:v>An accountable owner/reviewer confirms the control using current artifacts or reproducible test steps; exceptions have rationale, approver, compensating control and expiry. Control objective: Document the assessment methodology, coverage limits, assumptions and known blind spots.</x:v>
      </x:c>
      <x:c r="F19" s="16" t="str">
        <x:v>Reviewer steps, expected/observed result, sanitized evidence, impact, reviewer and approval/ticket.</x:v>
      </x:c>
      <x:c r="G19" s="16" t="str">
        <x:v>manual_review</x:v>
      </x:c>
      <x:c r="H19" s="16" t="str">
        <x:v>P0</x:v>
      </x:c>
      <x:c r="I19" s="16" t="str">
        <x:v>core</x:v>
      </x:c>
      <x:c r="J19" s="16" t="str">
        <x:v>direct; supporting | direct; supporting</x:v>
      </x:c>
      <x:c r="K19" s="16" t="str">
        <x:v>OWASP_WSTG; NIST_800_115; NIST_CSF; ISO27001; ISO31000; CIS_CONTROLS</x:v>
      </x:c>
      <x:c r="L19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19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19" s="16" t="str">
        <x:v>not_assessed</x:v>
      </x:c>
      <x:c r="O19" s="16" t="str"/>
      <x:c r="P19" s="18" t="str"/>
      <x:c r="Q19" s="16" t="str"/>
      <x:c r="R19" s="16" t="str"/>
      <x:c r="S19" s="16" t="str"/>
      <x:c r="T19" s="18" t="str"/>
      <x:c r="U19" s="16" t="str"/>
      <x:c r="V19" s="16" t="n">
        <x:v>0</x:v>
      </x:c>
    </x:row>
    <x:row r="20">
      <x:c r="A20" s="16" t="str">
        <x:v>FWPRO-GOV-019</x:v>
      </x:c>
      <x:c r="B20" s="16" t="str">
        <x:v>GOV</x:v>
      </x:c>
      <x:c r="C20" s="16" t="str">
        <x:v>Governance, authorization and scope</x:v>
      </x:c>
      <x:c r="D20" s="16" t="str">
        <x:v>Require independent review for high-impact findings and major scope exceptions.</x:v>
      </x:c>
      <x:c r="E20" s="16" t="str">
        <x:v>An accountable owner/reviewer confirms the control using current artifacts or reproducible test steps; exceptions have rationale, approver, compensating control and expiry. Control objective: Require independent review for high-impact findings and major scope exceptions.</x:v>
      </x:c>
      <x:c r="F20" s="16" t="str">
        <x:v>Reviewer steps, expected/observed result, sanitized evidence, impact, reviewer and approval/ticket.</x:v>
      </x:c>
      <x:c r="G20" s="16" t="str">
        <x:v>manual_review</x:v>
      </x:c>
      <x:c r="H20" s="16" t="str">
        <x:v>P0</x:v>
      </x:c>
      <x:c r="I20" s="16" t="str">
        <x:v>core</x:v>
      </x:c>
      <x:c r="J20" s="16" t="str">
        <x:v>direct; supporting | direct; supporting</x:v>
      </x:c>
      <x:c r="K20" s="16" t="str">
        <x:v>OWASP_WSTG; NIST_800_115; NIST_CSF; ISO27001; ISO31000; CIS_CONTROLS</x:v>
      </x:c>
      <x:c r="L20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20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20" s="16" t="str">
        <x:v>not_assessed</x:v>
      </x:c>
      <x:c r="O20" s="16" t="str"/>
      <x:c r="P20" s="18" t="str"/>
      <x:c r="Q20" s="16" t="str"/>
      <x:c r="R20" s="16" t="str"/>
      <x:c r="S20" s="16" t="str"/>
      <x:c r="T20" s="18" t="str"/>
      <x:c r="U20" s="16" t="str"/>
      <x:c r="V20" s="16" t="n">
        <x:v>0</x:v>
      </x:c>
    </x:row>
    <x:row r="21">
      <x:c r="A21" s="16" t="str">
        <x:v>FWPRO-GOV-020</x:v>
      </x:c>
      <x:c r="B21" s="16" t="str">
        <x:v>GOV</x:v>
      </x:c>
      <x:c r="C21" s="16" t="str">
        <x:v>Governance, authorization and scope</x:v>
      </x:c>
      <x:c r="D21" s="16" t="str">
        <x:v>Keep a record of assessment start/end times, configuration, tool version and operator identity.</x:v>
      </x:c>
      <x:c r="E21" s="16" t="str">
        <x:v>An accountable owner/reviewer confirms the control using current artifacts or reproducible test steps; exceptions have rationale, approver, compensating control and expiry. Control objective: Keep a record of assessment start/end times, configuration, tool version and operator identity.</x:v>
      </x:c>
      <x:c r="F21" s="16" t="str">
        <x:v>Reviewer steps, expected/observed result, sanitized evidence, impact, reviewer and approval/ticket.</x:v>
      </x:c>
      <x:c r="G21" s="16" t="str">
        <x:v>manual_review</x:v>
      </x:c>
      <x:c r="H21" s="16" t="str">
        <x:v>P0</x:v>
      </x:c>
      <x:c r="I21" s="16" t="str">
        <x:v>core</x:v>
      </x:c>
      <x:c r="J21" s="16" t="str">
        <x:v>direct; supporting | direct; supporting</x:v>
      </x:c>
      <x:c r="K21" s="16" t="str">
        <x:v>OWASP_WSTG; NIST_800_115; NIST_CSF; ISO27001; ISO31000; CIS_CONTROLS</x:v>
      </x:c>
      <x:c r="L21" s="16" t="str">
        <x:v>OWASP Web Security Testing Guide (v4.2 (current stable)); NIST SP 800-115 (2008 (published guide; check errata/current context)); NIST Cybersecurity Framework (2.0); ISO/IEC 27001 (2022); ISO 31000 Risk Management (2018; reviewed/confirmed current in 2023); CIS Critical Security Controls (v8.1)</x:v>
      </x:c>
      <x:c r="M21" s="16" t="str">
        <x:v>https://owasp.org/www-project-web-security-testing-guide/v42/; https://csrc.nist.gov/pubs/sp/800/115/final; https://www.nist.gov/cyberframework; https://www.iso.org/standard/27001; https://www.iso.org/standard/65694.html; https://www.cisecurity.org/controls/v8-1</x:v>
      </x:c>
      <x:c r="N21" s="16" t="str">
        <x:v>not_assessed</x:v>
      </x:c>
      <x:c r="O21" s="16" t="str"/>
      <x:c r="P21" s="18" t="str"/>
      <x:c r="Q21" s="16" t="str"/>
      <x:c r="R21" s="16" t="str"/>
      <x:c r="S21" s="16" t="str"/>
      <x:c r="T21" s="18" t="str"/>
      <x:c r="U21" s="16" t="str"/>
      <x:c r="V21" s="16" t="n">
        <x:v>0</x:v>
      </x:c>
    </x:row>
    <x:row r="22">
      <x:c r="A22" s="16" t="str">
        <x:v>FWPRO-RISK-001</x:v>
      </x:c>
      <x:c r="B22" s="16" t="str">
        <x:v>RISK</x:v>
      </x:c>
      <x:c r="C22" s="16" t="str">
        <x:v>Risk assessment and threat modeling</x:v>
      </x:c>
      <x:c r="D22" s="16" t="str">
        <x:v>Maintain current system context, trust boundaries, data flows and external dependencies.</x:v>
      </x:c>
      <x:c r="E22" s="16" t="str">
        <x:v>An accountable owner/reviewer confirms the control using current artifacts or reproducible test steps; exceptions have rationale, approver, compensating control and expiry. Control objective: Maintain current system context, trust boundaries, data flows and external dependencies.</x:v>
      </x:c>
      <x:c r="F22" s="16" t="str">
        <x:v>Approved policy/process, responsible owner, sample records, review cadence and exceptions log.</x:v>
      </x:c>
      <x:c r="G22" s="16" t="str">
        <x:v>interview_or_evidence</x:v>
      </x:c>
      <x:c r="H22" s="16" t="str">
        <x:v>P1</x:v>
      </x:c>
      <x:c r="I22" s="16" t="str">
        <x:v>core</x:v>
      </x:c>
      <x:c r="J22" s="16" t="str">
        <x:v>direct; supporting | direct; supporting</x:v>
      </x:c>
      <x:c r="K22" s="16" t="str">
        <x:v>OWASP_ASVS; OWASP_SAMM; NIST_CSF; NIST_800_53; ISO27001; ISO31000; CAPEC; ATTACK</x:v>
      </x:c>
      <x:c r="L22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2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2" s="16" t="str">
        <x:v>not_assessed</x:v>
      </x:c>
      <x:c r="O22" s="16" t="str"/>
      <x:c r="P22" s="18" t="str"/>
      <x:c r="Q22" s="16" t="str"/>
      <x:c r="R22" s="16" t="str"/>
      <x:c r="S22" s="16" t="str"/>
      <x:c r="T22" s="18" t="str"/>
      <x:c r="U22" s="16" t="str"/>
      <x:c r="V22" s="16" t="n">
        <x:v>0</x:v>
      </x:c>
    </x:row>
    <x:row r="23">
      <x:c r="A23" s="16" t="str">
        <x:v>FWPRO-RISK-002</x:v>
      </x:c>
      <x:c r="B23" s="16" t="str">
        <x:v>RISK</x:v>
      </x:c>
      <x:c r="C23" s="16" t="str">
        <x:v>Risk assessment and threat modeling</x:v>
      </x:c>
      <x:c r="D23" s="16" t="str">
        <x:v>Identify security objectives, business-critical workflows and unacceptable impacts.</x:v>
      </x:c>
      <x:c r="E23" s="16" t="str">
        <x:v>An accountable owner/reviewer confirms the control using current artifacts or reproducible test steps; exceptions have rationale, approver, compensating control and expiry. Control objective: Identify security objectives, business-critical workflows and unacceptable impacts.</x:v>
      </x:c>
      <x:c r="F23" s="16" t="str">
        <x:v>Approved policy/process, responsible owner, sample records, review cadence and exceptions log.</x:v>
      </x:c>
      <x:c r="G23" s="16" t="str">
        <x:v>interview_or_evidence</x:v>
      </x:c>
      <x:c r="H23" s="16" t="str">
        <x:v>P1</x:v>
      </x:c>
      <x:c r="I23" s="16" t="str">
        <x:v>core</x:v>
      </x:c>
      <x:c r="J23" s="16" t="str">
        <x:v>direct; supporting | direct; supporting</x:v>
      </x:c>
      <x:c r="K23" s="16" t="str">
        <x:v>OWASP_ASVS; OWASP_SAMM; NIST_CSF; NIST_800_53; ISO27001; ISO31000; CAPEC; ATTACK</x:v>
      </x:c>
      <x:c r="L23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3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3" s="16" t="str">
        <x:v>not_assessed</x:v>
      </x:c>
      <x:c r="O23" s="16" t="str"/>
      <x:c r="P23" s="18" t="str"/>
      <x:c r="Q23" s="16" t="str"/>
      <x:c r="R23" s="16" t="str"/>
      <x:c r="S23" s="16" t="str"/>
      <x:c r="T23" s="18" t="str"/>
      <x:c r="U23" s="16" t="str"/>
      <x:c r="V23" s="16" t="n">
        <x:v>0</x:v>
      </x:c>
    </x:row>
    <x:row r="24">
      <x:c r="A24" s="16" t="str">
        <x:v>FWPRO-RISK-003</x:v>
      </x:c>
      <x:c r="B24" s="16" t="str">
        <x:v>RISK</x:v>
      </x:c>
      <x:c r="C24" s="16" t="str">
        <x:v>Risk assessment and threat modeling</x:v>
      </x:c>
      <x:c r="D24" s="16" t="str">
        <x:v>Record trust boundaries between browser, API, backend, data stores, third-party services and admin paths.</x:v>
      </x:c>
      <x:c r="E24" s="16" t="str">
        <x:v>An accountable owner/reviewer confirms the control using current artifacts or reproducible test steps; exceptions have rationale, approver, compensating control and expiry. Control objective: Record trust boundaries between browser, API, backend, data stores, third-party services and admin paths.</x:v>
      </x:c>
      <x:c r="F24" s="16" t="str">
        <x:v>Approved policy/process, responsible owner, sample records, review cadence and exceptions log.</x:v>
      </x:c>
      <x:c r="G24" s="16" t="str">
        <x:v>interview_or_evidence</x:v>
      </x:c>
      <x:c r="H24" s="16" t="str">
        <x:v>P1</x:v>
      </x:c>
      <x:c r="I24" s="16" t="str">
        <x:v>core</x:v>
      </x:c>
      <x:c r="J24" s="16" t="str">
        <x:v>direct; supporting | direct; supporting</x:v>
      </x:c>
      <x:c r="K24" s="16" t="str">
        <x:v>OWASP_ASVS; OWASP_SAMM; NIST_CSF; NIST_800_53; ISO27001; ISO31000; CAPEC; ATTACK</x:v>
      </x:c>
      <x:c r="L24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4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4" s="16" t="str">
        <x:v>not_assessed</x:v>
      </x:c>
      <x:c r="O24" s="16" t="str"/>
      <x:c r="P24" s="18" t="str"/>
      <x:c r="Q24" s="16" t="str"/>
      <x:c r="R24" s="16" t="str"/>
      <x:c r="S24" s="16" t="str"/>
      <x:c r="T24" s="18" t="str"/>
      <x:c r="U24" s="16" t="str"/>
      <x:c r="V24" s="16" t="n">
        <x:v>0</x:v>
      </x:c>
    </x:row>
    <x:row r="25">
      <x:c r="A25" s="16" t="str">
        <x:v>FWPRO-RISK-004</x:v>
      </x:c>
      <x:c r="B25" s="16" t="str">
        <x:v>RISK</x:v>
      </x:c>
      <x:c r="C25" s="16" t="str">
        <x:v>Risk assessment and threat modeling</x:v>
      </x:c>
      <x:c r="D25" s="16" t="str">
        <x:v>Threat-model authentication, authorization, uploads, webhooks, file processors and URL-fetching features.</x:v>
      </x:c>
      <x:c r="E25" s="16" t="str">
        <x:v>An accountable owner/reviewer confirms the control using current artifacts or reproducible test steps; exceptions have rationale, approver, compensating control and expiry. Control objective: Threat-model authentication, authorization, uploads, webhooks, file processors and URL-fetching features.</x:v>
      </x:c>
      <x:c r="F25" s="16" t="str">
        <x:v>Approved policy/process, responsible owner, sample records, review cadence and exceptions log.</x:v>
      </x:c>
      <x:c r="G25" s="16" t="str">
        <x:v>interview_or_evidence</x:v>
      </x:c>
      <x:c r="H25" s="16" t="str">
        <x:v>P1</x:v>
      </x:c>
      <x:c r="I25" s="16" t="str">
        <x:v>core</x:v>
      </x:c>
      <x:c r="J25" s="16" t="str">
        <x:v>direct; supporting | direct; supporting</x:v>
      </x:c>
      <x:c r="K25" s="16" t="str">
        <x:v>OWASP_ASVS; OWASP_SAMM; NIST_CSF; NIST_800_53; ISO27001; ISO31000; CAPEC; ATTACK</x:v>
      </x:c>
      <x:c r="L25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5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5" s="16" t="str">
        <x:v>not_assessed</x:v>
      </x:c>
      <x:c r="O25" s="16" t="str"/>
      <x:c r="P25" s="18" t="str"/>
      <x:c r="Q25" s="16" t="str"/>
      <x:c r="R25" s="16" t="str"/>
      <x:c r="S25" s="16" t="str"/>
      <x:c r="T25" s="18" t="str"/>
      <x:c r="U25" s="16" t="str"/>
      <x:c r="V25" s="16" t="n">
        <x:v>0</x:v>
      </x:c>
    </x:row>
    <x:row r="26">
      <x:c r="A26" s="16" t="str">
        <x:v>FWPRO-RISK-005</x:v>
      </x:c>
      <x:c r="B26" s="16" t="str">
        <x:v>RISK</x:v>
      </x:c>
      <x:c r="C26" s="16" t="str">
        <x:v>Risk assessment and threat modeling</x:v>
      </x:c>
      <x:c r="D26" s="16" t="str">
        <x:v>Include abuse cases, insider misuse, automation/bot abuse and account/tenant takeover scenarios.</x:v>
      </x:c>
      <x:c r="E26" s="16" t="str">
        <x:v>An accountable owner/reviewer confirms the control using current artifacts or reproducible test steps; exceptions have rationale, approver, compensating control and expiry. Control objective: Include abuse cases, insider misuse, automation/bot abuse and account/tenant takeover scenarios.</x:v>
      </x:c>
      <x:c r="F26" s="16" t="str">
        <x:v>Approved policy/process, responsible owner, sample records, review cadence and exceptions log.</x:v>
      </x:c>
      <x:c r="G26" s="16" t="str">
        <x:v>interview_or_evidence</x:v>
      </x:c>
      <x:c r="H26" s="16" t="str">
        <x:v>P1</x:v>
      </x:c>
      <x:c r="I26" s="16" t="str">
        <x:v>core</x:v>
      </x:c>
      <x:c r="J26" s="16" t="str">
        <x:v>direct; supporting | direct; supporting</x:v>
      </x:c>
      <x:c r="K26" s="16" t="str">
        <x:v>OWASP_ASVS; OWASP_SAMM; NIST_CSF; NIST_800_53; ISO27001; ISO31000; CAPEC; ATTACK</x:v>
      </x:c>
      <x:c r="L26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6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6" s="16" t="str">
        <x:v>not_assessed</x:v>
      </x:c>
      <x:c r="O26" s="16" t="str"/>
      <x:c r="P26" s="18" t="str"/>
      <x:c r="Q26" s="16" t="str"/>
      <x:c r="R26" s="16" t="str"/>
      <x:c r="S26" s="16" t="str"/>
      <x:c r="T26" s="18" t="str"/>
      <x:c r="U26" s="16" t="str"/>
      <x:c r="V26" s="16" t="n">
        <x:v>0</x:v>
      </x:c>
    </x:row>
    <x:row r="27">
      <x:c r="A27" s="16" t="str">
        <x:v>FWPRO-RISK-006</x:v>
      </x:c>
      <x:c r="B27" s="16" t="str">
        <x:v>RISK</x:v>
      </x:c>
      <x:c r="C27" s="16" t="str">
        <x:v>Risk assessment and threat modeling</x:v>
      </x:c>
      <x:c r="D27" s="16" t="str">
        <x:v>Track assumptions and unresolved questions in the threat model with owners and review dates.</x:v>
      </x:c>
      <x:c r="E27" s="16" t="str">
        <x:v>An accountable owner/reviewer confirms the control using current artifacts or reproducible test steps; exceptions have rationale, approver, compensating control and expiry. Control objective: Track assumptions and unresolved questions in the threat model with owners and review dates.</x:v>
      </x:c>
      <x:c r="F27" s="16" t="str">
        <x:v>Approved policy/process, responsible owner, sample records, review cadence and exceptions log.</x:v>
      </x:c>
      <x:c r="G27" s="16" t="str">
        <x:v>interview_or_evidence</x:v>
      </x:c>
      <x:c r="H27" s="16" t="str">
        <x:v>P1</x:v>
      </x:c>
      <x:c r="I27" s="16" t="str">
        <x:v>core</x:v>
      </x:c>
      <x:c r="J27" s="16" t="str">
        <x:v>direct; supporting | direct; supporting</x:v>
      </x:c>
      <x:c r="K27" s="16" t="str">
        <x:v>OWASP_ASVS; OWASP_SAMM; NIST_CSF; NIST_800_53; ISO27001; ISO31000; CAPEC; ATTACK</x:v>
      </x:c>
      <x:c r="L27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7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7" s="16" t="str">
        <x:v>not_assessed</x:v>
      </x:c>
      <x:c r="O27" s="16" t="str"/>
      <x:c r="P27" s="18" t="str"/>
      <x:c r="Q27" s="16" t="str"/>
      <x:c r="R27" s="16" t="str"/>
      <x:c r="S27" s="16" t="str"/>
      <x:c r="T27" s="18" t="str"/>
      <x:c r="U27" s="16" t="str"/>
      <x:c r="V27" s="16" t="n">
        <x:v>0</x:v>
      </x:c>
    </x:row>
    <x:row r="28">
      <x:c r="A28" s="16" t="str">
        <x:v>FWPRO-RISK-007</x:v>
      </x:c>
      <x:c r="B28" s="16" t="str">
        <x:v>RISK</x:v>
      </x:c>
      <x:c r="C28" s="16" t="str">
        <x:v>Risk assessment and threat modeling</x:v>
      </x:c>
      <x:c r="D28" s="16" t="str">
        <x:v>Map important threats to defensive controls, tests, evidence and remediation tickets.</x:v>
      </x:c>
      <x:c r="E28" s="16" t="str">
        <x:v>An accountable owner/reviewer confirms the control using current artifacts or reproducible test steps; exceptions have rationale, approver, compensating control and expiry. Control objective: Map important threats to defensive controls, tests, evidence and remediation tickets.</x:v>
      </x:c>
      <x:c r="F28" s="16" t="str">
        <x:v>Approved policy/process, responsible owner, sample records, review cadence and exceptions log.</x:v>
      </x:c>
      <x:c r="G28" s="16" t="str">
        <x:v>interview_or_evidence</x:v>
      </x:c>
      <x:c r="H28" s="16" t="str">
        <x:v>P1</x:v>
      </x:c>
      <x:c r="I28" s="16" t="str">
        <x:v>core</x:v>
      </x:c>
      <x:c r="J28" s="16" t="str">
        <x:v>direct; supporting | direct; supporting</x:v>
      </x:c>
      <x:c r="K28" s="16" t="str">
        <x:v>OWASP_ASVS; OWASP_SAMM; NIST_CSF; NIST_800_53; ISO27001; ISO31000; CAPEC; ATTACK</x:v>
      </x:c>
      <x:c r="L28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8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8" s="16" t="str">
        <x:v>not_assessed</x:v>
      </x:c>
      <x:c r="O28" s="16" t="str"/>
      <x:c r="P28" s="18" t="str"/>
      <x:c r="Q28" s="16" t="str"/>
      <x:c r="R28" s="16" t="str"/>
      <x:c r="S28" s="16" t="str"/>
      <x:c r="T28" s="18" t="str"/>
      <x:c r="U28" s="16" t="str"/>
      <x:c r="V28" s="16" t="n">
        <x:v>0</x:v>
      </x:c>
    </x:row>
    <x:row r="29">
      <x:c r="A29" s="16" t="str">
        <x:v>FWPRO-RISK-008</x:v>
      </x:c>
      <x:c r="B29" s="16" t="str">
        <x:v>RISK</x:v>
      </x:c>
      <x:c r="C29" s="16" t="str">
        <x:v>Risk assessment and threat modeling</x:v>
      </x:c>
      <x:c r="D29" s="16" t="str">
        <x:v>Review threat models after major architecture, identity, data-flow or third-party changes.</x:v>
      </x:c>
      <x:c r="E29" s="16" t="str">
        <x:v>An accountable owner/reviewer confirms the control using current artifacts or reproducible test steps; exceptions have rationale, approver, compensating control and expiry. Control objective: Review threat models after major architecture, identity, data-flow or third-party changes.</x:v>
      </x:c>
      <x:c r="F29" s="16" t="str">
        <x:v>Approved policy/process, responsible owner, sample records, review cadence and exceptions log.</x:v>
      </x:c>
      <x:c r="G29" s="16" t="str">
        <x:v>interview_or_evidence</x:v>
      </x:c>
      <x:c r="H29" s="16" t="str">
        <x:v>P1</x:v>
      </x:c>
      <x:c r="I29" s="16" t="str">
        <x:v>core</x:v>
      </x:c>
      <x:c r="J29" s="16" t="str">
        <x:v>direct; supporting | direct; supporting</x:v>
      </x:c>
      <x:c r="K29" s="16" t="str">
        <x:v>OWASP_ASVS; OWASP_SAMM; NIST_CSF; NIST_800_53; ISO27001; ISO31000; CAPEC; ATTACK</x:v>
      </x:c>
      <x:c r="L29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29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29" s="16" t="str">
        <x:v>not_assessed</x:v>
      </x:c>
      <x:c r="O29" s="16" t="str"/>
      <x:c r="P29" s="18" t="str"/>
      <x:c r="Q29" s="16" t="str"/>
      <x:c r="R29" s="16" t="str"/>
      <x:c r="S29" s="16" t="str"/>
      <x:c r="T29" s="18" t="str"/>
      <x:c r="U29" s="16" t="str"/>
      <x:c r="V29" s="16" t="n">
        <x:v>0</x:v>
      </x:c>
    </x:row>
    <x:row r="30">
      <x:c r="A30" s="16" t="str">
        <x:v>FWPRO-RISK-009</x:v>
      </x:c>
      <x:c r="B30" s="16" t="str">
        <x:v>RISK</x:v>
      </x:c>
      <x:c r="C30" s="16" t="str">
        <x:v>Risk assessment and threat modeling</x:v>
      </x:c>
      <x:c r="D30" s="16" t="str">
        <x:v>Use a documented risk method that distinguishes impact, likelihood, confidence and business context.</x:v>
      </x:c>
      <x:c r="E30" s="16" t="str">
        <x:v>An accountable owner/reviewer confirms the control using current artifacts or reproducible test steps; exceptions have rationale, approver, compensating control and expiry. Control objective: Use a documented risk method that distinguishes impact, likelihood, confidence and business context.</x:v>
      </x:c>
      <x:c r="F30" s="16" t="str">
        <x:v>Approved policy/process, responsible owner, sample records, review cadence and exceptions log.</x:v>
      </x:c>
      <x:c r="G30" s="16" t="str">
        <x:v>interview_or_evidence</x:v>
      </x:c>
      <x:c r="H30" s="16" t="str">
        <x:v>P1</x:v>
      </x:c>
      <x:c r="I30" s="16" t="str">
        <x:v>core</x:v>
      </x:c>
      <x:c r="J30" s="16" t="str">
        <x:v>direct; supporting | direct; supporting</x:v>
      </x:c>
      <x:c r="K30" s="16" t="str">
        <x:v>OWASP_ASVS; OWASP_SAMM; NIST_CSF; NIST_800_53; ISO27001; ISO31000; CAPEC; ATTACK</x:v>
      </x:c>
      <x:c r="L30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0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0" s="16" t="str">
        <x:v>not_assessed</x:v>
      </x:c>
      <x:c r="O30" s="16" t="str"/>
      <x:c r="P30" s="18" t="str"/>
      <x:c r="Q30" s="16" t="str"/>
      <x:c r="R30" s="16" t="str"/>
      <x:c r="S30" s="16" t="str"/>
      <x:c r="T30" s="18" t="str"/>
      <x:c r="U30" s="16" t="str"/>
      <x:c r="V30" s="16" t="n">
        <x:v>0</x:v>
      </x:c>
    </x:row>
    <x:row r="31">
      <x:c r="A31" s="16" t="str">
        <x:v>FWPRO-RISK-010</x:v>
      </x:c>
      <x:c r="B31" s="16" t="str">
        <x:v>RISK</x:v>
      </x:c>
      <x:c r="C31" s="16" t="str">
        <x:v>Risk assessment and threat modeling</x:v>
      </x:c>
      <x:c r="D31" s="16" t="str">
        <x:v>Prioritize reachable, exploitable and business-critical exposures rather than relying only on raw severity.</x:v>
      </x:c>
      <x:c r="E31" s="16" t="str">
        <x:v>An accountable owner/reviewer confirms the control using current artifacts or reproducible test steps; exceptions have rationale, approver, compensating control and expiry. Control objective: Prioritize reachable, exploitable and business-critical exposures rather than relying only on raw severity.</x:v>
      </x:c>
      <x:c r="F31" s="16" t="str">
        <x:v>Approved policy/process, responsible owner, sample records, review cadence and exceptions log.</x:v>
      </x:c>
      <x:c r="G31" s="16" t="str">
        <x:v>interview_or_evidence</x:v>
      </x:c>
      <x:c r="H31" s="16" t="str">
        <x:v>P1</x:v>
      </x:c>
      <x:c r="I31" s="16" t="str">
        <x:v>core</x:v>
      </x:c>
      <x:c r="J31" s="16" t="str">
        <x:v>direct; supporting | direct; supporting</x:v>
      </x:c>
      <x:c r="K31" s="16" t="str">
        <x:v>OWASP_ASVS; OWASP_SAMM; NIST_CSF; NIST_800_53; ISO27001; ISO31000; CAPEC; ATTACK</x:v>
      </x:c>
      <x:c r="L31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1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1" s="16" t="str">
        <x:v>not_assessed</x:v>
      </x:c>
      <x:c r="O31" s="16" t="str"/>
      <x:c r="P31" s="18" t="str"/>
      <x:c r="Q31" s="16" t="str"/>
      <x:c r="R31" s="16" t="str"/>
      <x:c r="S31" s="16" t="str"/>
      <x:c r="T31" s="18" t="str"/>
      <x:c r="U31" s="16" t="str"/>
      <x:c r="V31" s="16" t="n">
        <x:v>0</x:v>
      </x:c>
    </x:row>
    <x:row r="32">
      <x:c r="A32" s="16" t="str">
        <x:v>FWPRO-RISK-011</x:v>
      </x:c>
      <x:c r="B32" s="16" t="str">
        <x:v>RISK</x:v>
      </x:c>
      <x:c r="C32" s="16" t="str">
        <x:v>Risk assessment and threat modeling</x:v>
      </x:c>
      <x:c r="D32" s="16" t="str">
        <x:v>Identify crown-jewel data and the controls required around it.</x:v>
      </x:c>
      <x:c r="E32" s="16" t="str">
        <x:v>An accountable owner/reviewer confirms the control using current artifacts or reproducible test steps; exceptions have rationale, approver, compensating control and expiry. Control objective: Identify crown-jewel data and the controls required around it.</x:v>
      </x:c>
      <x:c r="F32" s="16" t="str">
        <x:v>Approved policy/process, responsible owner, sample records, review cadence and exceptions log.</x:v>
      </x:c>
      <x:c r="G32" s="16" t="str">
        <x:v>interview_or_evidence</x:v>
      </x:c>
      <x:c r="H32" s="16" t="str">
        <x:v>P1</x:v>
      </x:c>
      <x:c r="I32" s="16" t="str">
        <x:v>core</x:v>
      </x:c>
      <x:c r="J32" s="16" t="str">
        <x:v>direct; supporting | direct; supporting</x:v>
      </x:c>
      <x:c r="K32" s="16" t="str">
        <x:v>OWASP_ASVS; OWASP_SAMM; NIST_CSF; NIST_800_53; ISO27001; ISO31000; CAPEC; ATTACK</x:v>
      </x:c>
      <x:c r="L32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2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2" s="16" t="str">
        <x:v>not_assessed</x:v>
      </x:c>
      <x:c r="O32" s="16" t="str"/>
      <x:c r="P32" s="18" t="str"/>
      <x:c r="Q32" s="16" t="str"/>
      <x:c r="R32" s="16" t="str"/>
      <x:c r="S32" s="16" t="str"/>
      <x:c r="T32" s="18" t="str"/>
      <x:c r="U32" s="16" t="str"/>
      <x:c r="V32" s="16" t="n">
        <x:v>0</x:v>
      </x:c>
    </x:row>
    <x:row r="33">
      <x:c r="A33" s="16" t="str">
        <x:v>FWPRO-RISK-012</x:v>
      </x:c>
      <x:c r="B33" s="16" t="str">
        <x:v>RISK</x:v>
      </x:c>
      <x:c r="C33" s="16" t="str">
        <x:v>Risk assessment and threat modeling</x:v>
      </x:c>
      <x:c r="D33" s="16" t="str">
        <x:v>Review failure modes caused by partial outages, dependency failures and degraded security controls.</x:v>
      </x:c>
      <x:c r="E33" s="16" t="str">
        <x:v>An accountable owner/reviewer confirms the control using current artifacts or reproducible test steps; exceptions have rationale, approver, compensating control and expiry. Control objective: Review failure modes caused by partial outages, dependency failures and degraded security controls.</x:v>
      </x:c>
      <x:c r="F33" s="16" t="str">
        <x:v>Approved policy/process, responsible owner, sample records, review cadence and exceptions log.</x:v>
      </x:c>
      <x:c r="G33" s="16" t="str">
        <x:v>interview_or_evidence</x:v>
      </x:c>
      <x:c r="H33" s="16" t="str">
        <x:v>P1</x:v>
      </x:c>
      <x:c r="I33" s="16" t="str">
        <x:v>core</x:v>
      </x:c>
      <x:c r="J33" s="16" t="str">
        <x:v>direct; supporting | direct; supporting</x:v>
      </x:c>
      <x:c r="K33" s="16" t="str">
        <x:v>OWASP_ASVS; OWASP_SAMM; NIST_CSF; NIST_800_53; ISO27001; ISO31000; CAPEC; ATTACK</x:v>
      </x:c>
      <x:c r="L33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3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3" s="16" t="str">
        <x:v>not_assessed</x:v>
      </x:c>
      <x:c r="O33" s="16" t="str"/>
      <x:c r="P33" s="18" t="str"/>
      <x:c r="Q33" s="16" t="str"/>
      <x:c r="R33" s="16" t="str"/>
      <x:c r="S33" s="16" t="str"/>
      <x:c r="T33" s="18" t="str"/>
      <x:c r="U33" s="16" t="str"/>
      <x:c r="V33" s="16" t="n">
        <x:v>0</x:v>
      </x:c>
    </x:row>
    <x:row r="34">
      <x:c r="A34" s="16" t="str">
        <x:v>FWPRO-RISK-013</x:v>
      </x:c>
      <x:c r="B34" s="16" t="str">
        <x:v>RISK</x:v>
      </x:c>
      <x:c r="C34" s="16" t="str">
        <x:v>Risk assessment and threat modeling</x:v>
      </x:c>
      <x:c r="D34" s="16" t="str">
        <x:v>Assess multi-tenant boundaries and cross-tenant impact explicitly.</x:v>
      </x:c>
      <x:c r="E34" s="16" t="str">
        <x:v>An accountable owner/reviewer confirms the control using current artifacts or reproducible test steps; exceptions have rationale, approver, compensating control and expiry. Control objective: Assess multi-tenant boundaries and cross-tenant impact explicitly.</x:v>
      </x:c>
      <x:c r="F34" s="16" t="str">
        <x:v>Approved policy/process, responsible owner, sample records, review cadence and exceptions log.</x:v>
      </x:c>
      <x:c r="G34" s="16" t="str">
        <x:v>interview_or_evidence</x:v>
      </x:c>
      <x:c r="H34" s="16" t="str">
        <x:v>P1</x:v>
      </x:c>
      <x:c r="I34" s="16" t="str">
        <x:v>core</x:v>
      </x:c>
      <x:c r="J34" s="16" t="str">
        <x:v>direct; supporting | direct; supporting</x:v>
      </x:c>
      <x:c r="K34" s="16" t="str">
        <x:v>OWASP_ASVS; OWASP_SAMM; NIST_CSF; NIST_800_53; ISO27001; ISO31000; CAPEC; ATTACK</x:v>
      </x:c>
      <x:c r="L34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4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4" s="16" t="str">
        <x:v>not_assessed</x:v>
      </x:c>
      <x:c r="O34" s="16" t="str"/>
      <x:c r="P34" s="18" t="str"/>
      <x:c r="Q34" s="16" t="str"/>
      <x:c r="R34" s="16" t="str"/>
      <x:c r="S34" s="16" t="str"/>
      <x:c r="T34" s="18" t="str"/>
      <x:c r="U34" s="16" t="str"/>
      <x:c r="V34" s="16" t="n">
        <x:v>0</x:v>
      </x:c>
    </x:row>
    <x:row r="35">
      <x:c r="A35" s="16" t="str">
        <x:v>FWPRO-RISK-014</x:v>
      </x:c>
      <x:c r="B35" s="16" t="str">
        <x:v>RISK</x:v>
      </x:c>
      <x:c r="C35" s="16" t="str">
        <x:v>Risk assessment and threat modeling</x:v>
      </x:c>
      <x:c r="D35" s="16" t="str">
        <x:v>Assess supply-chain and build pipeline threats in addition to runtime threats.</x:v>
      </x:c>
      <x:c r="E35" s="16" t="str">
        <x:v>An accountable owner/reviewer confirms the control using current artifacts or reproducible test steps; exceptions have rationale, approver, compensating control and expiry. Control objective: Assess supply-chain and build pipeline threats in addition to runtime threats.</x:v>
      </x:c>
      <x:c r="F35" s="16" t="str">
        <x:v>Approved policy/process, responsible owner, sample records, review cadence and exceptions log.</x:v>
      </x:c>
      <x:c r="G35" s="16" t="str">
        <x:v>interview_or_evidence</x:v>
      </x:c>
      <x:c r="H35" s="16" t="str">
        <x:v>P1</x:v>
      </x:c>
      <x:c r="I35" s="16" t="str">
        <x:v>core</x:v>
      </x:c>
      <x:c r="J35" s="16" t="str">
        <x:v>direct; supporting | direct; supporting</x:v>
      </x:c>
      <x:c r="K35" s="16" t="str">
        <x:v>OWASP_ASVS; OWASP_SAMM; NIST_CSF; NIST_800_53; ISO27001; ISO31000; CAPEC; ATTACK</x:v>
      </x:c>
      <x:c r="L35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5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5" s="16" t="str">
        <x:v>not_assessed</x:v>
      </x:c>
      <x:c r="O35" s="16" t="str"/>
      <x:c r="P35" s="18" t="str"/>
      <x:c r="Q35" s="16" t="str"/>
      <x:c r="R35" s="16" t="str"/>
      <x:c r="S35" s="16" t="str"/>
      <x:c r="T35" s="18" t="str"/>
      <x:c r="U35" s="16" t="str"/>
      <x:c r="V35" s="16" t="n">
        <x:v>0</x:v>
      </x:c>
    </x:row>
    <x:row r="36">
      <x:c r="A36" s="16" t="str">
        <x:v>FWPRO-RISK-015</x:v>
      </x:c>
      <x:c r="B36" s="16" t="str">
        <x:v>RISK</x:v>
      </x:c>
      <x:c r="C36" s="16" t="str">
        <x:v>Risk assessment and threat modeling</x:v>
      </x:c>
      <x:c r="D36" s="16" t="str">
        <x:v>Record residual risk decisions and verify that compensating controls are operational.</x:v>
      </x:c>
      <x:c r="E36" s="16" t="str">
        <x:v>An accountable owner/reviewer confirms the control using current artifacts or reproducible test steps; exceptions have rationale, approver, compensating control and expiry. Control objective: Record residual risk decisions and verify that compensating controls are operational.</x:v>
      </x:c>
      <x:c r="F36" s="16" t="str">
        <x:v>Approved policy/process, responsible owner, sample records, review cadence and exceptions log.</x:v>
      </x:c>
      <x:c r="G36" s="16" t="str">
        <x:v>interview_or_evidence</x:v>
      </x:c>
      <x:c r="H36" s="16" t="str">
        <x:v>P1</x:v>
      </x:c>
      <x:c r="I36" s="16" t="str">
        <x:v>core</x:v>
      </x:c>
      <x:c r="J36" s="16" t="str">
        <x:v>direct; supporting | direct; supporting</x:v>
      </x:c>
      <x:c r="K36" s="16" t="str">
        <x:v>OWASP_ASVS; OWASP_SAMM; NIST_CSF; NIST_800_53; ISO27001; ISO31000; CAPEC; ATTACK</x:v>
      </x:c>
      <x:c r="L36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6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6" s="16" t="str">
        <x:v>not_assessed</x:v>
      </x:c>
      <x:c r="O36" s="16" t="str"/>
      <x:c r="P36" s="18" t="str"/>
      <x:c r="Q36" s="16" t="str"/>
      <x:c r="R36" s="16" t="str"/>
      <x:c r="S36" s="16" t="str"/>
      <x:c r="T36" s="18" t="str"/>
      <x:c r="U36" s="16" t="str"/>
      <x:c r="V36" s="16" t="n">
        <x:v>0</x:v>
      </x:c>
    </x:row>
    <x:row r="37">
      <x:c r="A37" s="16" t="str">
        <x:v>FWPRO-RISK-016</x:v>
      </x:c>
      <x:c r="B37" s="16" t="str">
        <x:v>RISK</x:v>
      </x:c>
      <x:c r="C37" s="16" t="str">
        <x:v>Risk assessment and threat modeling</x:v>
      </x:c>
      <x:c r="D37" s="16" t="str">
        <x:v>Maintain a mapping from threat scenarios to ATT&amp;CK/CAPEC where it adds actionable context.</x:v>
      </x:c>
      <x:c r="E37" s="16" t="str">
        <x:v>An accountable owner/reviewer confirms the control using current artifacts or reproducible test steps; exceptions have rationale, approver, compensating control and expiry. Control objective: Maintain a mapping from threat scenarios to ATT&amp;CK/CAPEC where it adds actionable context.</x:v>
      </x:c>
      <x:c r="F37" s="16" t="str">
        <x:v>Approved policy/process, responsible owner, sample records, review cadence and exceptions log.</x:v>
      </x:c>
      <x:c r="G37" s="16" t="str">
        <x:v>interview_or_evidence</x:v>
      </x:c>
      <x:c r="H37" s="16" t="str">
        <x:v>P1</x:v>
      </x:c>
      <x:c r="I37" s="16" t="str">
        <x:v>core</x:v>
      </x:c>
      <x:c r="J37" s="16" t="str">
        <x:v>direct; supporting | direct; supporting</x:v>
      </x:c>
      <x:c r="K37" s="16" t="str">
        <x:v>OWASP_ASVS; OWASP_SAMM; NIST_CSF; NIST_800_53; ISO27001; ISO31000; CAPEC; ATTACK</x:v>
      </x:c>
      <x:c r="L37" s="16" t="str">
        <x:v>OWASP Application Security Verification Standard (5.0.0 (stable)); OWASP Software Assurance Maturity Model (2.2.0 (project-listed)); NIST Cybersecurity Framework (2.0); NIST SP 800-53 Security and Privacy Controls (Rev. 5 + current errata); ISO/IEC 27001 (2022); ISO 31000 Risk Management (2018; reviewed/confirmed current in 2023); MITRE CAPEC (Current catalog); MITRE ATT&amp;CK (Current enterprise/mobile/cloud knowledge bases)</x:v>
      </x:c>
      <x:c r="M37" s="16" t="str">
        <x:v>https://owasp.org/www-project-application-security-verification-standard/; https://owaspsamm.org/model/; https://www.nist.gov/cyberframework; https://csrc.nist.gov/pubs/sp/800/53/r5/upd1/final; https://www.iso.org/standard/27001; https://www.iso.org/standard/65694.html; https://capec.mitre.org/; https://attack.mitre.org/</x:v>
      </x:c>
      <x:c r="N37" s="16" t="str">
        <x:v>not_assessed</x:v>
      </x:c>
      <x:c r="O37" s="16" t="str"/>
      <x:c r="P37" s="18" t="str"/>
      <x:c r="Q37" s="16" t="str"/>
      <x:c r="R37" s="16" t="str"/>
      <x:c r="S37" s="16" t="str"/>
      <x:c r="T37" s="18" t="str"/>
      <x:c r="U37" s="16" t="str"/>
      <x:c r="V37" s="16" t="n">
        <x:v>0</x:v>
      </x:c>
    </x:row>
    <x:row r="38">
      <x:c r="A38" s="16" t="str">
        <x:v>FWPRO-ASSET-001</x:v>
      </x:c>
      <x:c r="B38" s="16" t="str">
        <x:v>ASSET</x:v>
      </x:c>
      <x:c r="C38" s="16" t="str">
        <x:v>Asset inventory and attack-surface discovery</x:v>
      </x:c>
      <x:c r="D38" s="16" t="str">
        <x:v>Inventory in-scope hosts, ports, schemes, applications, APIs and known environment variants.</x:v>
      </x:c>
      <x:c r="E38" s="16" t="str">
        <x:v>A repeatable, bounded check produces current sanitized evidence for this control, or explicitly marks it blocked/not-tested. Finding absence alone is not proof of compliance. Control objective: Inventory in-scope hosts, ports, schemes, applications, APIs and known environment variants.</x:v>
      </x:c>
      <x:c r="F38" s="16" t="str">
        <x:v>Timestamped HTTP/browser observation, sanitized response/request metadata, scanner version and rule ID.</x:v>
      </x:c>
      <x:c r="G38" s="16" t="str">
        <x:v>automated_passive</x:v>
      </x:c>
      <x:c r="H38" s="16" t="str">
        <x:v>P1</x:v>
      </x:c>
      <x:c r="I38" s="16" t="str">
        <x:v>core</x:v>
      </x:c>
      <x:c r="J38" s="16" t="str">
        <x:v>direct; supporting | direct; supporting</x:v>
      </x:c>
      <x:c r="K38" s="16" t="str">
        <x:v>OWASP_WSTG; OWASP_ASVS; OWASP_TOP10; OWASP_API; NIST_CSF; CIS_CONTROLS</x:v>
      </x:c>
      <x:c r="L38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38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38" s="16" t="str">
        <x:v>not_assessed</x:v>
      </x:c>
      <x:c r="O38" s="16" t="str"/>
      <x:c r="P38" s="18" t="str"/>
      <x:c r="Q38" s="16" t="str"/>
      <x:c r="R38" s="16" t="str"/>
      <x:c r="S38" s="16" t="str"/>
      <x:c r="T38" s="18" t="str"/>
      <x:c r="U38" s="16" t="str"/>
      <x:c r="V38" s="16" t="n">
        <x:v>0</x:v>
      </x:c>
    </x:row>
    <x:row r="39">
      <x:c r="A39" s="16" t="str">
        <x:v>FWPRO-ASSET-002</x:v>
      </x:c>
      <x:c r="B39" s="16" t="str">
        <x:v>ASSET</x:v>
      </x:c>
      <x:c r="C39" s="16" t="str">
        <x:v>Asset inventory and attack-surface discovery</x:v>
      </x:c>
      <x:c r="D39" s="16" t="str">
        <x:v>Discover links, forms, scripts, resources, route hints and API specifications within scope.</x:v>
      </x:c>
      <x:c r="E39" s="16" t="str">
        <x:v>A repeatable, bounded check produces current sanitized evidence for this control, or explicitly marks it blocked/not-tested. Finding absence alone is not proof of compliance. Control objective: Discover links, forms, scripts, resources, route hints and API specifications within scope.</x:v>
      </x:c>
      <x:c r="F39" s="16" t="str">
        <x:v>Timestamped HTTP/browser observation, sanitized response/request metadata, scanner version and rule ID.</x:v>
      </x:c>
      <x:c r="G39" s="16" t="str">
        <x:v>automated_passive</x:v>
      </x:c>
      <x:c r="H39" s="16" t="str">
        <x:v>P1</x:v>
      </x:c>
      <x:c r="I39" s="16" t="str">
        <x:v>core</x:v>
      </x:c>
      <x:c r="J39" s="16" t="str">
        <x:v>direct; supporting | direct; supporting</x:v>
      </x:c>
      <x:c r="K39" s="16" t="str">
        <x:v>OWASP_WSTG; OWASP_ASVS; OWASP_TOP10; OWASP_API; NIST_CSF; CIS_CONTROLS</x:v>
      </x:c>
      <x:c r="L39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39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39" s="16" t="str">
        <x:v>not_assessed</x:v>
      </x:c>
      <x:c r="O39" s="16" t="str"/>
      <x:c r="P39" s="18" t="str"/>
      <x:c r="Q39" s="16" t="str"/>
      <x:c r="R39" s="16" t="str"/>
      <x:c r="S39" s="16" t="str"/>
      <x:c r="T39" s="18" t="str"/>
      <x:c r="U39" s="16" t="str"/>
      <x:c r="V39" s="16" t="n">
        <x:v>0</x:v>
      </x:c>
    </x:row>
    <x:row r="40">
      <x:c r="A40" s="16" t="str">
        <x:v>FWPRO-ASSET-003</x:v>
      </x:c>
      <x:c r="B40" s="16" t="str">
        <x:v>ASSET</x:v>
      </x:c>
      <x:c r="C40" s="16" t="str">
        <x:v>Asset inventory and attack-surface discovery</x:v>
      </x:c>
      <x:c r="D40" s="16" t="str">
        <x:v>Record HTTP method, path template, parameters, content type and observed authentication context per endpoint.</x:v>
      </x:c>
      <x:c r="E40" s="16" t="str">
        <x:v>A repeatable, bounded check produces current sanitized evidence for this control, or explicitly marks it blocked/not-tested. Finding absence alone is not proof of compliance. Control objective: Record HTTP method, path template, parameters, content type and observed authentication context per endpoint.</x:v>
      </x:c>
      <x:c r="F40" s="16" t="str">
        <x:v>Timestamped HTTP/browser observation, sanitized response/request metadata, scanner version and rule ID.</x:v>
      </x:c>
      <x:c r="G40" s="16" t="str">
        <x:v>automated_passive</x:v>
      </x:c>
      <x:c r="H40" s="16" t="str">
        <x:v>P1</x:v>
      </x:c>
      <x:c r="I40" s="16" t="str">
        <x:v>core</x:v>
      </x:c>
      <x:c r="J40" s="16" t="str">
        <x:v>direct; supporting | direct; supporting</x:v>
      </x:c>
      <x:c r="K40" s="16" t="str">
        <x:v>OWASP_WSTG; OWASP_ASVS; OWASP_TOP10; OWASP_API; NIST_CSF; CIS_CONTROLS</x:v>
      </x:c>
      <x:c r="L40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0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0" s="16" t="str">
        <x:v>not_assessed</x:v>
      </x:c>
      <x:c r="O40" s="16" t="str"/>
      <x:c r="P40" s="18" t="str"/>
      <x:c r="Q40" s="16" t="str"/>
      <x:c r="R40" s="16" t="str"/>
      <x:c r="S40" s="16" t="str"/>
      <x:c r="T40" s="18" t="str"/>
      <x:c r="U40" s="16" t="str"/>
      <x:c r="V40" s="16" t="n">
        <x:v>0</x:v>
      </x:c>
    </x:row>
    <x:row r="41">
      <x:c r="A41" s="16" t="str">
        <x:v>FWPRO-ASSET-004</x:v>
      </x:c>
      <x:c r="B41" s="16" t="str">
        <x:v>ASSET</x:v>
      </x:c>
      <x:c r="C41" s="16" t="str">
        <x:v>Asset inventory and attack-surface discovery</x:v>
      </x:c>
      <x:c r="D41" s="16" t="str">
        <x:v>Identify production, staging, administrative, partner and legacy API versions separately.</x:v>
      </x:c>
      <x:c r="E41" s="16" t="str">
        <x:v>A repeatable, bounded check produces current sanitized evidence for this control, or explicitly marks it blocked/not-tested. Finding absence alone is not proof of compliance. Control objective: Identify production, staging, administrative, partner and legacy API versions separately.</x:v>
      </x:c>
      <x:c r="F41" s="16" t="str">
        <x:v>Timestamped HTTP/browser observation, sanitized response/request metadata, scanner version and rule ID.</x:v>
      </x:c>
      <x:c r="G41" s="16" t="str">
        <x:v>automated_passive</x:v>
      </x:c>
      <x:c r="H41" s="16" t="str">
        <x:v>P1</x:v>
      </x:c>
      <x:c r="I41" s="16" t="str">
        <x:v>core</x:v>
      </x:c>
      <x:c r="J41" s="16" t="str">
        <x:v>direct; supporting | direct; supporting</x:v>
      </x:c>
      <x:c r="K41" s="16" t="str">
        <x:v>OWASP_WSTG; OWASP_ASVS; OWASP_TOP10; OWASP_API; NIST_CSF; CIS_CONTROLS</x:v>
      </x:c>
      <x:c r="L41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1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1" s="16" t="str">
        <x:v>not_assessed</x:v>
      </x:c>
      <x:c r="O41" s="16" t="str"/>
      <x:c r="P41" s="18" t="str"/>
      <x:c r="Q41" s="16" t="str"/>
      <x:c r="R41" s="16" t="str"/>
      <x:c r="S41" s="16" t="str"/>
      <x:c r="T41" s="18" t="str"/>
      <x:c r="U41" s="16" t="str"/>
      <x:c r="V41" s="16" t="n">
        <x:v>0</x:v>
      </x:c>
    </x:row>
    <x:row r="42">
      <x:c r="A42" s="16" t="str">
        <x:v>FWPRO-ASSET-005</x:v>
      </x:c>
      <x:c r="B42" s="16" t="str">
        <x:v>ASSET</x:v>
      </x:c>
      <x:c r="C42" s="16" t="str">
        <x:v>Asset inventory and attack-surface discovery</x:v>
      </x:c>
      <x:c r="D42" s="16" t="str">
        <x:v>Parse robots.txt and sitemap as discovery hints without treating either as authorization to test.</x:v>
      </x:c>
      <x:c r="E42" s="16" t="str">
        <x:v>A repeatable, bounded check produces current sanitized evidence for this control, or explicitly marks it blocked/not-tested. Finding absence alone is not proof of compliance. Control objective: Parse robots.txt and sitemap as discovery hints without treating either as authorization to test.</x:v>
      </x:c>
      <x:c r="F42" s="16" t="str">
        <x:v>Timestamped HTTP/browser observation, sanitized response/request metadata, scanner version and rule ID.</x:v>
      </x:c>
      <x:c r="G42" s="16" t="str">
        <x:v>automated_passive</x:v>
      </x:c>
      <x:c r="H42" s="16" t="str">
        <x:v>P1</x:v>
      </x:c>
      <x:c r="I42" s="16" t="str">
        <x:v>core</x:v>
      </x:c>
      <x:c r="J42" s="16" t="str">
        <x:v>direct; supporting | direct; supporting</x:v>
      </x:c>
      <x:c r="K42" s="16" t="str">
        <x:v>OWASP_WSTG; OWASP_ASVS; OWASP_TOP10; OWASP_API; NIST_CSF; CIS_CONTROLS</x:v>
      </x:c>
      <x:c r="L42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2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2" s="16" t="str">
        <x:v>not_assessed</x:v>
      </x:c>
      <x:c r="O42" s="16" t="str"/>
      <x:c r="P42" s="18" t="str"/>
      <x:c r="Q42" s="16" t="str"/>
      <x:c r="R42" s="16" t="str"/>
      <x:c r="S42" s="16" t="str"/>
      <x:c r="T42" s="18" t="str"/>
      <x:c r="U42" s="16" t="str"/>
      <x:c r="V42" s="16" t="n">
        <x:v>0</x:v>
      </x:c>
    </x:row>
    <x:row r="43">
      <x:c r="A43" s="16" t="str">
        <x:v>FWPRO-ASSET-006</x:v>
      </x:c>
      <x:c r="B43" s="16" t="str">
        <x:v>ASSET</x:v>
      </x:c>
      <x:c r="C43" s="16" t="str">
        <x:v>Asset inventory and attack-surface discovery</x:v>
      </x:c>
      <x:c r="D43" s="16" t="str">
        <x:v>Track endpoint source (HTML, JavaScript, OpenAPI, browser observation, manual seed) and discovery timestamp.</x:v>
      </x:c>
      <x:c r="E43" s="16" t="str">
        <x:v>A repeatable, bounded check produces current sanitized evidence for this control, or explicitly marks it blocked/not-tested. Finding absence alone is not proof of compliance. Control objective: Track endpoint source (HTML, JavaScript, OpenAPI, browser observation, manual seed) and discovery timestamp.</x:v>
      </x:c>
      <x:c r="F43" s="16" t="str">
        <x:v>Timestamped HTTP/browser observation, sanitized response/request metadata, scanner version and rule ID.</x:v>
      </x:c>
      <x:c r="G43" s="16" t="str">
        <x:v>automated_passive</x:v>
      </x:c>
      <x:c r="H43" s="16" t="str">
        <x:v>P1</x:v>
      </x:c>
      <x:c r="I43" s="16" t="str">
        <x:v>core</x:v>
      </x:c>
      <x:c r="J43" s="16" t="str">
        <x:v>direct; supporting | direct; supporting</x:v>
      </x:c>
      <x:c r="K43" s="16" t="str">
        <x:v>OWASP_WSTG; OWASP_ASVS; OWASP_TOP10; OWASP_API; NIST_CSF; CIS_CONTROLS</x:v>
      </x:c>
      <x:c r="L43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3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3" s="16" t="str">
        <x:v>not_assessed</x:v>
      </x:c>
      <x:c r="O43" s="16" t="str"/>
      <x:c r="P43" s="18" t="str"/>
      <x:c r="Q43" s="16" t="str"/>
      <x:c r="R43" s="16" t="str"/>
      <x:c r="S43" s="16" t="str"/>
      <x:c r="T43" s="18" t="str"/>
      <x:c r="U43" s="16" t="str"/>
      <x:c r="V43" s="16" t="n">
        <x:v>0</x:v>
      </x:c>
    </x:row>
    <x:row r="44">
      <x:c r="A44" s="16" t="str">
        <x:v>FWPRO-ASSET-007</x:v>
      </x:c>
      <x:c r="B44" s="16" t="str">
        <x:v>ASSET</x:v>
      </x:c>
      <x:c r="C44" s="16" t="str">
        <x:v>Asset inventory and attack-surface discovery</x:v>
      </x:c>
      <x:c r="D44" s="16" t="str">
        <x:v>Deduplicate URL and endpoint variants using canonicalization rules documented in the tool.</x:v>
      </x:c>
      <x:c r="E44" s="16" t="str">
        <x:v>A repeatable, bounded check produces current sanitized evidence for this control, or explicitly marks it blocked/not-tested. Finding absence alone is not proof of compliance. Control objective: Deduplicate URL and endpoint variants using canonicalization rules documented in the tool.</x:v>
      </x:c>
      <x:c r="F44" s="16" t="str">
        <x:v>Timestamped HTTP/browser observation, sanitized response/request metadata, scanner version and rule ID.</x:v>
      </x:c>
      <x:c r="G44" s="16" t="str">
        <x:v>automated_passive</x:v>
      </x:c>
      <x:c r="H44" s="16" t="str">
        <x:v>P1</x:v>
      </x:c>
      <x:c r="I44" s="16" t="str">
        <x:v>core</x:v>
      </x:c>
      <x:c r="J44" s="16" t="str">
        <x:v>direct; supporting | direct; supporting</x:v>
      </x:c>
      <x:c r="K44" s="16" t="str">
        <x:v>OWASP_WSTG; OWASP_ASVS; OWASP_TOP10; OWASP_API; NIST_CSF; CIS_CONTROLS</x:v>
      </x:c>
      <x:c r="L44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4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4" s="16" t="str">
        <x:v>not_assessed</x:v>
      </x:c>
      <x:c r="O44" s="16" t="str"/>
      <x:c r="P44" s="18" t="str"/>
      <x:c r="Q44" s="16" t="str"/>
      <x:c r="R44" s="16" t="str"/>
      <x:c r="S44" s="16" t="str"/>
      <x:c r="T44" s="18" t="str"/>
      <x:c r="U44" s="16" t="str"/>
      <x:c r="V44" s="16" t="n">
        <x:v>0</x:v>
      </x:c>
    </x:row>
    <x:row r="45">
      <x:c r="A45" s="16" t="str">
        <x:v>FWPRO-ASSET-008</x:v>
      </x:c>
      <x:c r="B45" s="16" t="str">
        <x:v>ASSET</x:v>
      </x:c>
      <x:c r="C45" s="16" t="str">
        <x:v>Asset inventory and attack-surface discovery</x:v>
      </x:c>
      <x:c r="D45" s="16" t="str">
        <x:v>Detect technology indicators with confidence and avoid treating a banner as proof of version or vulnerability.</x:v>
      </x:c>
      <x:c r="E45" s="16" t="str">
        <x:v>A repeatable, bounded check produces current sanitized evidence for this control, or explicitly marks it blocked/not-tested. Finding absence alone is not proof of compliance. Control objective: Detect technology indicators with confidence and avoid treating a banner as proof of version or vulnerability.</x:v>
      </x:c>
      <x:c r="F45" s="16" t="str">
        <x:v>Timestamped HTTP/browser observation, sanitized response/request metadata, scanner version and rule ID.</x:v>
      </x:c>
      <x:c r="G45" s="16" t="str">
        <x:v>automated_passive</x:v>
      </x:c>
      <x:c r="H45" s="16" t="str">
        <x:v>P1</x:v>
      </x:c>
      <x:c r="I45" s="16" t="str">
        <x:v>core</x:v>
      </x:c>
      <x:c r="J45" s="16" t="str">
        <x:v>direct; supporting | direct; supporting</x:v>
      </x:c>
      <x:c r="K45" s="16" t="str">
        <x:v>OWASP_WSTG; OWASP_ASVS; OWASP_TOP10; OWASP_API; NIST_CSF; CIS_CONTROLS</x:v>
      </x:c>
      <x:c r="L45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5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5" s="16" t="str">
        <x:v>not_assessed</x:v>
      </x:c>
      <x:c r="O45" s="16" t="str"/>
      <x:c r="P45" s="18" t="str"/>
      <x:c r="Q45" s="16" t="str"/>
      <x:c r="R45" s="16" t="str"/>
      <x:c r="S45" s="16" t="str"/>
      <x:c r="T45" s="18" t="str"/>
      <x:c r="U45" s="16" t="str"/>
      <x:c r="V45" s="16" t="n">
        <x:v>0</x:v>
      </x:c>
    </x:row>
    <x:row r="46">
      <x:c r="A46" s="16" t="str">
        <x:v>FWPRO-ASSET-009</x:v>
      </x:c>
      <x:c r="B46" s="16" t="str">
        <x:v>ASSET</x:v>
      </x:c>
      <x:c r="C46" s="16" t="str">
        <x:v>Asset inventory and attack-surface discovery</x:v>
      </x:c>
      <x:c r="D46" s="16" t="str">
        <x:v>Flag stale, undocumented, deprecated and duplicate APIs for owner review.</x:v>
      </x:c>
      <x:c r="E46" s="16" t="str">
        <x:v>A repeatable, bounded check produces current sanitized evidence for this control, or explicitly marks it blocked/not-tested. Finding absence alone is not proof of compliance. Control objective: Flag stale, undocumented, deprecated and duplicate APIs for owner review.</x:v>
      </x:c>
      <x:c r="F46" s="16" t="str">
        <x:v>Timestamped HTTP/browser observation, sanitized response/request metadata, scanner version and rule ID.</x:v>
      </x:c>
      <x:c r="G46" s="16" t="str">
        <x:v>automated_passive</x:v>
      </x:c>
      <x:c r="H46" s="16" t="str">
        <x:v>P1</x:v>
      </x:c>
      <x:c r="I46" s="16" t="str">
        <x:v>core</x:v>
      </x:c>
      <x:c r="J46" s="16" t="str">
        <x:v>direct; supporting | direct; supporting</x:v>
      </x:c>
      <x:c r="K46" s="16" t="str">
        <x:v>OWASP_WSTG; OWASP_ASVS; OWASP_TOP10; OWASP_API; NIST_CSF; CIS_CONTROLS</x:v>
      </x:c>
      <x:c r="L46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6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6" s="16" t="str">
        <x:v>not_assessed</x:v>
      </x:c>
      <x:c r="O46" s="16" t="str"/>
      <x:c r="P46" s="18" t="str"/>
      <x:c r="Q46" s="16" t="str"/>
      <x:c r="R46" s="16" t="str"/>
      <x:c r="S46" s="16" t="str"/>
      <x:c r="T46" s="18" t="str"/>
      <x:c r="U46" s="16" t="str"/>
      <x:c r="V46" s="16" t="n">
        <x:v>0</x:v>
      </x:c>
    </x:row>
    <x:row r="47">
      <x:c r="A47" s="16" t="str">
        <x:v>FWPRO-ASSET-010</x:v>
      </x:c>
      <x:c r="B47" s="16" t="str">
        <x:v>ASSET</x:v>
      </x:c>
      <x:c r="C47" s="16" t="str">
        <x:v>Asset inventory and attack-surface discovery</x:v>
      </x:c>
      <x:c r="D47" s="16" t="str">
        <x:v>Compare current and prior inventories to identify newly exposed routes and assets.</x:v>
      </x:c>
      <x:c r="E47" s="16" t="str">
        <x:v>A repeatable, bounded check produces current sanitized evidence for this control, or explicitly marks it blocked/not-tested. Finding absence alone is not proof of compliance. Control objective: Compare current and prior inventories to identify newly exposed routes and assets.</x:v>
      </x:c>
      <x:c r="F47" s="16" t="str">
        <x:v>Timestamped HTTP/browser observation, sanitized response/request metadata, scanner version and rule ID.</x:v>
      </x:c>
      <x:c r="G47" s="16" t="str">
        <x:v>automated_passive</x:v>
      </x:c>
      <x:c r="H47" s="16" t="str">
        <x:v>P1</x:v>
      </x:c>
      <x:c r="I47" s="16" t="str">
        <x:v>core</x:v>
      </x:c>
      <x:c r="J47" s="16" t="str">
        <x:v>direct; supporting | direct; supporting</x:v>
      </x:c>
      <x:c r="K47" s="16" t="str">
        <x:v>OWASP_WSTG; OWASP_ASVS; OWASP_TOP10; OWASP_API; NIST_CSF; CIS_CONTROLS</x:v>
      </x:c>
      <x:c r="L47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7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7" s="16" t="str">
        <x:v>not_assessed</x:v>
      </x:c>
      <x:c r="O47" s="16" t="str"/>
      <x:c r="P47" s="18" t="str"/>
      <x:c r="Q47" s="16" t="str"/>
      <x:c r="R47" s="16" t="str"/>
      <x:c r="S47" s="16" t="str"/>
      <x:c r="T47" s="18" t="str"/>
      <x:c r="U47" s="16" t="str"/>
      <x:c r="V47" s="16" t="n">
        <x:v>0</x:v>
      </x:c>
    </x:row>
    <x:row r="48">
      <x:c r="A48" s="16" t="str">
        <x:v>FWPRO-ASSET-011</x:v>
      </x:c>
      <x:c r="B48" s="16" t="str">
        <x:v>ASSET</x:v>
      </x:c>
      <x:c r="C48" s="16" t="str">
        <x:v>Asset inventory and attack-surface discovery</x:v>
      </x:c>
      <x:c r="D48" s="16" t="str">
        <x:v>Respect scope at every redirect, subresource, script-discovered URL and browser request.</x:v>
      </x:c>
      <x:c r="E48" s="16" t="str">
        <x:v>A repeatable, bounded check produces current sanitized evidence for this control, or explicitly marks it blocked/not-tested. Finding absence alone is not proof of compliance. Control objective: Respect scope at every redirect, subresource, script-discovered URL and browser request.</x:v>
      </x:c>
      <x:c r="F48" s="16" t="str">
        <x:v>Timestamped HTTP/browser observation, sanitized response/request metadata, scanner version and rule ID.</x:v>
      </x:c>
      <x:c r="G48" s="16" t="str">
        <x:v>automated_passive</x:v>
      </x:c>
      <x:c r="H48" s="16" t="str">
        <x:v>P1</x:v>
      </x:c>
      <x:c r="I48" s="16" t="str">
        <x:v>core</x:v>
      </x:c>
      <x:c r="J48" s="16" t="str">
        <x:v>direct; supporting | direct; supporting</x:v>
      </x:c>
      <x:c r="K48" s="16" t="str">
        <x:v>OWASP_WSTG; OWASP_ASVS; OWASP_TOP10; OWASP_API; NIST_CSF; CIS_CONTROLS</x:v>
      </x:c>
      <x:c r="L48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8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8" s="16" t="str">
        <x:v>not_assessed</x:v>
      </x:c>
      <x:c r="O48" s="16" t="str"/>
      <x:c r="P48" s="18" t="str"/>
      <x:c r="Q48" s="16" t="str"/>
      <x:c r="R48" s="16" t="str"/>
      <x:c r="S48" s="16" t="str"/>
      <x:c r="T48" s="18" t="str"/>
      <x:c r="U48" s="16" t="str"/>
      <x:c r="V48" s="16" t="n">
        <x:v>0</x:v>
      </x:c>
    </x:row>
    <x:row r="49">
      <x:c r="A49" s="16" t="str">
        <x:v>FWPRO-ASSET-012</x:v>
      </x:c>
      <x:c r="B49" s="16" t="str">
        <x:v>ASSET</x:v>
      </x:c>
      <x:c r="C49" s="16" t="str">
        <x:v>Asset inventory and attack-surface discovery</x:v>
      </x:c>
      <x:c r="D49" s="16" t="str">
        <x:v>Exclude sensitive token/reset/signature query URLs from normal crawling and report output.</x:v>
      </x:c>
      <x:c r="E49" s="16" t="str">
        <x:v>A repeatable, bounded check produces current sanitized evidence for this control, or explicitly marks it blocked/not-tested. Finding absence alone is not proof of compliance. Control objective: Exclude sensitive token/reset/signature query URLs from normal crawling and report output.</x:v>
      </x:c>
      <x:c r="F49" s="16" t="str">
        <x:v>Timestamped HTTP/browser observation, sanitized response/request metadata, scanner version and rule ID.</x:v>
      </x:c>
      <x:c r="G49" s="16" t="str">
        <x:v>automated_passive</x:v>
      </x:c>
      <x:c r="H49" s="16" t="str">
        <x:v>P1</x:v>
      </x:c>
      <x:c r="I49" s="16" t="str">
        <x:v>core</x:v>
      </x:c>
      <x:c r="J49" s="16" t="str">
        <x:v>direct; supporting | direct; supporting</x:v>
      </x:c>
      <x:c r="K49" s="16" t="str">
        <x:v>OWASP_WSTG; OWASP_ASVS; OWASP_TOP10; OWASP_API; NIST_CSF; CIS_CONTROLS</x:v>
      </x:c>
      <x:c r="L49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49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49" s="16" t="str">
        <x:v>not_assessed</x:v>
      </x:c>
      <x:c r="O49" s="16" t="str"/>
      <x:c r="P49" s="18" t="str"/>
      <x:c r="Q49" s="16" t="str"/>
      <x:c r="R49" s="16" t="str"/>
      <x:c r="S49" s="16" t="str"/>
      <x:c r="T49" s="18" t="str"/>
      <x:c r="U49" s="16" t="str"/>
      <x:c r="V49" s="16" t="n">
        <x:v>0</x:v>
      </x:c>
    </x:row>
    <x:row r="50">
      <x:c r="A50" s="16" t="str">
        <x:v>FWPRO-ASSET-013</x:v>
      </x:c>
      <x:c r="B50" s="16" t="str">
        <x:v>ASSET</x:v>
      </x:c>
      <x:c r="C50" s="16" t="str">
        <x:v>Asset inventory and attack-surface discovery</x:v>
      </x:c>
      <x:c r="D50" s="16" t="str">
        <x:v>Record discovery limits when authentication or JavaScript runtime access is unavailable.</x:v>
      </x:c>
      <x:c r="E50" s="16" t="str">
        <x:v>A repeatable, bounded check produces current sanitized evidence for this control, or explicitly marks it blocked/not-tested. Finding absence alone is not proof of compliance. Control objective: Record discovery limits when authentication or JavaScript runtime access is unavailable.</x:v>
      </x:c>
      <x:c r="F50" s="16" t="str">
        <x:v>Timestamped HTTP/browser observation, sanitized response/request metadata, scanner version and rule ID.</x:v>
      </x:c>
      <x:c r="G50" s="16" t="str">
        <x:v>automated_passive</x:v>
      </x:c>
      <x:c r="H50" s="16" t="str">
        <x:v>P1</x:v>
      </x:c>
      <x:c r="I50" s="16" t="str">
        <x:v>core</x:v>
      </x:c>
      <x:c r="J50" s="16" t="str">
        <x:v>direct; supporting | direct; supporting</x:v>
      </x:c>
      <x:c r="K50" s="16" t="str">
        <x:v>OWASP_WSTG; OWASP_ASVS; OWASP_TOP10; OWASP_API; NIST_CSF; CIS_CONTROLS</x:v>
      </x:c>
      <x:c r="L50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50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50" s="16" t="str">
        <x:v>not_assessed</x:v>
      </x:c>
      <x:c r="O50" s="16" t="str"/>
      <x:c r="P50" s="18" t="str"/>
      <x:c r="Q50" s="16" t="str"/>
      <x:c r="R50" s="16" t="str"/>
      <x:c r="S50" s="16" t="str"/>
      <x:c r="T50" s="18" t="str"/>
      <x:c r="U50" s="16" t="str"/>
      <x:c r="V50" s="16" t="n">
        <x:v>0</x:v>
      </x:c>
    </x:row>
    <x:row r="51">
      <x:c r="A51" s="16" t="str">
        <x:v>FWPRO-ASSET-014</x:v>
      </x:c>
      <x:c r="B51" s="16" t="str">
        <x:v>ASSET</x:v>
      </x:c>
      <x:c r="C51" s="16" t="str">
        <x:v>Asset inventory and attack-surface discovery</x:v>
      </x:c>
      <x:c r="D51" s="16" t="str">
        <x:v>Review exposed source maps, debug paths and metadata without attempting unauthorized repository access.</x:v>
      </x:c>
      <x:c r="E51" s="16" t="str">
        <x:v>A repeatable, bounded check produces current sanitized evidence for this control, or explicitly marks it blocked/not-tested. Finding absence alone is not proof of compliance. Control objective: Review exposed source maps, debug paths and metadata without attempting unauthorized repository access.</x:v>
      </x:c>
      <x:c r="F51" s="16" t="str">
        <x:v>Timestamped HTTP/browser observation, sanitized response/request metadata, scanner version and rule ID.</x:v>
      </x:c>
      <x:c r="G51" s="16" t="str">
        <x:v>automated_passive</x:v>
      </x:c>
      <x:c r="H51" s="16" t="str">
        <x:v>P1</x:v>
      </x:c>
      <x:c r="I51" s="16" t="str">
        <x:v>core</x:v>
      </x:c>
      <x:c r="J51" s="16" t="str">
        <x:v>direct; supporting | direct; supporting</x:v>
      </x:c>
      <x:c r="K51" s="16" t="str">
        <x:v>OWASP_WSTG; OWASP_ASVS; OWASP_TOP10; OWASP_API; NIST_CSF; CIS_CONTROLS</x:v>
      </x:c>
      <x:c r="L51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51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51" s="16" t="str">
        <x:v>not_assessed</x:v>
      </x:c>
      <x:c r="O51" s="16" t="str"/>
      <x:c r="P51" s="18" t="str"/>
      <x:c r="Q51" s="16" t="str"/>
      <x:c r="R51" s="16" t="str"/>
      <x:c r="S51" s="16" t="str"/>
      <x:c r="T51" s="18" t="str"/>
      <x:c r="U51" s="16" t="str"/>
      <x:c r="V51" s="16" t="n">
        <x:v>0</x:v>
      </x:c>
    </x:row>
    <x:row r="52">
      <x:c r="A52" s="16" t="str">
        <x:v>FWPRO-ASSET-015</x:v>
      </x:c>
      <x:c r="B52" s="16" t="str">
        <x:v>ASSET</x:v>
      </x:c>
      <x:c r="C52" s="16" t="str">
        <x:v>Asset inventory and attack-surface discovery</x:v>
      </x:c>
      <x:c r="D52" s="16" t="str">
        <x:v>Confirm all discovered third-party hosts are separately approved before any active request is sent.</x:v>
      </x:c>
      <x:c r="E52" s="16" t="str">
        <x:v>A repeatable, bounded check produces current sanitized evidence for this control, or explicitly marks it blocked/not-tested. Finding absence alone is not proof of compliance. Control objective: Confirm all discovered third-party hosts are separately approved before any active request is sent.</x:v>
      </x:c>
      <x:c r="F52" s="16" t="str">
        <x:v>Timestamped HTTP/browser observation, sanitized response/request metadata, scanner version and rule ID.</x:v>
      </x:c>
      <x:c r="G52" s="16" t="str">
        <x:v>automated_passive</x:v>
      </x:c>
      <x:c r="H52" s="16" t="str">
        <x:v>P1</x:v>
      </x:c>
      <x:c r="I52" s="16" t="str">
        <x:v>core</x:v>
      </x:c>
      <x:c r="J52" s="16" t="str">
        <x:v>direct; supporting | direct; supporting</x:v>
      </x:c>
      <x:c r="K52" s="16" t="str">
        <x:v>OWASP_WSTG; OWASP_ASVS; OWASP_TOP10; OWASP_API; NIST_CSF; CIS_CONTROLS</x:v>
      </x:c>
      <x:c r="L52" s="16" t="str">
        <x:v>OWASP Web Security Testing Guide (v4.2 (current stable)); OWASP Application Security Verification Standard (5.0.0 (stable)); OWASP Top 10 (2025 (released)); OWASP API Security Top 10 (2023); NIST Cybersecurity Framework (2.0); CIS Critical Security Controls (v8.1)</x:v>
      </x:c>
      <x:c r="M52" s="16" t="str">
        <x:v>https://owasp.org/www-project-web-security-testing-guide/v42/; https://owasp.org/www-project-application-security-verification-standard/; https://owasp.org/projects/top-ten; https://owasp.org/www-project-api-security/; https://www.nist.gov/cyberframework; https://www.cisecurity.org/controls/v8-1</x:v>
      </x:c>
      <x:c r="N52" s="16" t="str">
        <x:v>not_assessed</x:v>
      </x:c>
      <x:c r="O52" s="16" t="str"/>
      <x:c r="P52" s="18" t="str"/>
      <x:c r="Q52" s="16" t="str"/>
      <x:c r="R52" s="16" t="str"/>
      <x:c r="S52" s="16" t="str"/>
      <x:c r="T52" s="18" t="str"/>
      <x:c r="U52" s="16" t="str"/>
      <x:c r="V52" s="16" t="n">
        <x:v>0</x:v>
      </x:c>
    </x:row>
    <x:row r="53">
      <x:c r="A53" s="16" t="str">
        <x:v>FWPRO-ARCH-001</x:v>
      </x:c>
      <x:c r="B53" s="16" t="str">
        <x:v>ARCH</x:v>
      </x:c>
      <x:c r="C53" s="16" t="str">
        <x:v>Secure architecture and application design</x:v>
      </x:c>
      <x:c r="D53" s="16" t="str">
        <x:v>Document secure architecture decisions and security-relevant design trade-offs.</x:v>
      </x:c>
      <x:c r="E53" s="16" t="str">
        <x:v>An accountable owner/reviewer confirms the control using current artifacts or reproducible test steps; exceptions have rationale, approver, compensating control and expiry. Control objective: Document secure architecture decisions and security-relevant design trade-offs.</x:v>
      </x:c>
      <x:c r="F53" s="16" t="str">
        <x:v>Reviewer steps, expected/observed result, sanitized evidence, impact, reviewer and approval/ticket.</x:v>
      </x:c>
      <x:c r="G53" s="16" t="str">
        <x:v>manual_review</x:v>
      </x:c>
      <x:c r="H53" s="16" t="str">
        <x:v>P1</x:v>
      </x:c>
      <x:c r="I53" s="16" t="str">
        <x:v>core</x:v>
      </x:c>
      <x:c r="J53" s="16" t="str">
        <x:v>direct; supporting | direct; supporting</x:v>
      </x:c>
      <x:c r="K53" s="16" t="str">
        <x:v>OWASP_ASVS; OWASP_SAMM; OWASP_TOP10; NIST_SSDF; NIST_800_53; ISO27034; ISO27001</x:v>
      </x:c>
      <x:c r="L53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53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53" s="16" t="str">
        <x:v>not_assessed</x:v>
      </x:c>
      <x:c r="O53" s="16" t="str"/>
      <x:c r="P53" s="18" t="str"/>
      <x:c r="Q53" s="16" t="str"/>
      <x:c r="R53" s="16" t="str"/>
      <x:c r="S53" s="16" t="str"/>
      <x:c r="T53" s="18" t="str"/>
      <x:c r="U53" s="16" t="str"/>
      <x:c r="V53" s="16" t="n">
        <x:v>0</x:v>
      </x:c>
    </x:row>
    <x:row r="54">
      <x:c r="A54" s="16" t="str">
        <x:v>FWPRO-ARCH-002</x:v>
      </x:c>
      <x:c r="B54" s="16" t="str">
        <x:v>ARCH</x:v>
      </x:c>
      <x:c r="C54" s="16" t="str">
        <x:v>Secure architecture and application design</x:v>
      </x:c>
      <x:c r="D54" s="16" t="str">
        <x:v>Apply deny-by-default and least privilege across application layers and service identities.</x:v>
      </x:c>
      <x:c r="E54" s="16" t="str">
        <x:v>An accountable owner/reviewer confirms the control using current artifacts or reproducible test steps; exceptions have rationale, approver, compensating control and expiry. Control objective: Apply deny-by-default and least privilege across application layers and service identities.</x:v>
      </x:c>
      <x:c r="F54" s="16" t="str">
        <x:v>Reviewer steps, expected/observed result, sanitized evidence, impact, reviewer and approval/ticket.</x:v>
      </x:c>
      <x:c r="G54" s="16" t="str">
        <x:v>manual_review</x:v>
      </x:c>
      <x:c r="H54" s="16" t="str">
        <x:v>P1</x:v>
      </x:c>
      <x:c r="I54" s="16" t="str">
        <x:v>core</x:v>
      </x:c>
      <x:c r="J54" s="16" t="str">
        <x:v>direct; supporting | direct; supporting</x:v>
      </x:c>
      <x:c r="K54" s="16" t="str">
        <x:v>OWASP_ASVS; OWASP_SAMM; OWASP_TOP10; NIST_SSDF; NIST_800_53; ISO27034; ISO27001</x:v>
      </x:c>
      <x:c r="L54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54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54" s="16" t="str">
        <x:v>not_assessed</x:v>
      </x:c>
      <x:c r="O54" s="16" t="str"/>
      <x:c r="P54" s="18" t="str"/>
      <x:c r="Q54" s="16" t="str"/>
      <x:c r="R54" s="16" t="str"/>
      <x:c r="S54" s="16" t="str"/>
      <x:c r="T54" s="18" t="str"/>
      <x:c r="U54" s="16" t="str"/>
      <x:c r="V54" s="16" t="n">
        <x:v>0</x:v>
      </x:c>
    </x:row>
    <x:row r="55">
      <x:c r="A55" s="16" t="str">
        <x:v>FWPRO-ARCH-003</x:v>
      </x:c>
      <x:c r="B55" s="16" t="str">
        <x:v>ARCH</x:v>
      </x:c>
      <x:c r="C55" s="16" t="str">
        <x:v>Secure architecture and application design</x:v>
      </x:c>
      <x:c r="D55" s="16" t="str">
        <x:v>Keep authorization decisions server-side and independent from client-visible UI state.</x:v>
      </x:c>
      <x:c r="E55" s="16" t="str">
        <x:v>An accountable owner/reviewer confirms the control using current artifacts or reproducible test steps; exceptions have rationale, approver, compensating control and expiry. Control objective: Keep authorization decisions server-side and independent from client-visible UI state.</x:v>
      </x:c>
      <x:c r="F55" s="16" t="str">
        <x:v>Reviewer steps, expected/observed result, sanitized evidence, impact, reviewer and approval/ticket.</x:v>
      </x:c>
      <x:c r="G55" s="16" t="str">
        <x:v>manual_review</x:v>
      </x:c>
      <x:c r="H55" s="16" t="str">
        <x:v>P1</x:v>
      </x:c>
      <x:c r="I55" s="16" t="str">
        <x:v>core</x:v>
      </x:c>
      <x:c r="J55" s="16" t="str">
        <x:v>direct; supporting | direct; supporting</x:v>
      </x:c>
      <x:c r="K55" s="16" t="str">
        <x:v>OWASP_ASVS; OWASP_SAMM; OWASP_TOP10; NIST_SSDF; NIST_800_53; ISO27034; ISO27001</x:v>
      </x:c>
      <x:c r="L55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55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55" s="16" t="str">
        <x:v>not_assessed</x:v>
      </x:c>
      <x:c r="O55" s="16" t="str"/>
      <x:c r="P55" s="18" t="str"/>
      <x:c r="Q55" s="16" t="str"/>
      <x:c r="R55" s="16" t="str"/>
      <x:c r="S55" s="16" t="str"/>
      <x:c r="T55" s="18" t="str"/>
      <x:c r="U55" s="16" t="str"/>
      <x:c r="V55" s="16" t="n">
        <x:v>0</x:v>
      </x:c>
    </x:row>
    <x:row r="56">
      <x:c r="A56" s="16" t="str">
        <x:v>FWPRO-ARCH-004</x:v>
      </x:c>
      <x:c r="B56" s="16" t="str">
        <x:v>ARCH</x:v>
      </x:c>
      <x:c r="C56" s="16" t="str">
        <x:v>Secure architecture and application design</x:v>
      </x:c>
      <x:c r="D56" s="16" t="str">
        <x:v>Separate public routes, privileged administrative interfaces and internal service endpoints.</x:v>
      </x:c>
      <x:c r="E56" s="16" t="str">
        <x:v>An accountable owner/reviewer confirms the control using current artifacts or reproducible test steps; exceptions have rationale, approver, compensating control and expiry. Control objective: Separate public routes, privileged administrative interfaces and internal service endpoints.</x:v>
      </x:c>
      <x:c r="F56" s="16" t="str">
        <x:v>Reviewer steps, expected/observed result, sanitized evidence, impact, reviewer and approval/ticket.</x:v>
      </x:c>
      <x:c r="G56" s="16" t="str">
        <x:v>manual_review</x:v>
      </x:c>
      <x:c r="H56" s="16" t="str">
        <x:v>P1</x:v>
      </x:c>
      <x:c r="I56" s="16" t="str">
        <x:v>core</x:v>
      </x:c>
      <x:c r="J56" s="16" t="str">
        <x:v>direct; supporting | direct; supporting</x:v>
      </x:c>
      <x:c r="K56" s="16" t="str">
        <x:v>OWASP_ASVS; OWASP_SAMM; OWASP_TOP10; NIST_SSDF; NIST_800_53; ISO27034; ISO27001</x:v>
      </x:c>
      <x:c r="L56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56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56" s="16" t="str">
        <x:v>not_assessed</x:v>
      </x:c>
      <x:c r="O56" s="16" t="str"/>
      <x:c r="P56" s="18" t="str"/>
      <x:c r="Q56" s="16" t="str"/>
      <x:c r="R56" s="16" t="str"/>
      <x:c r="S56" s="16" t="str"/>
      <x:c r="T56" s="18" t="str"/>
      <x:c r="U56" s="16" t="str"/>
      <x:c r="V56" s="16" t="n">
        <x:v>0</x:v>
      </x:c>
    </x:row>
    <x:row r="57">
      <x:c r="A57" s="16" t="str">
        <x:v>FWPRO-ARCH-005</x:v>
      </x:c>
      <x:c r="B57" s="16" t="str">
        <x:v>ARCH</x:v>
      </x:c>
      <x:c r="C57" s="16" t="str">
        <x:v>Secure architecture and application design</x:v>
      </x:c>
      <x:c r="D57" s="16" t="str">
        <x:v>Define service-to-service trust and authenticate internal calls rather than trusting network position alone.</x:v>
      </x:c>
      <x:c r="E57" s="16" t="str">
        <x:v>An accountable owner/reviewer confirms the control using current artifacts or reproducible test steps; exceptions have rationale, approver, compensating control and expiry. Control objective: Define service-to-service trust and authenticate internal calls rather than trusting network position alone.</x:v>
      </x:c>
      <x:c r="F57" s="16" t="str">
        <x:v>Reviewer steps, expected/observed result, sanitized evidence, impact, reviewer and approval/ticket.</x:v>
      </x:c>
      <x:c r="G57" s="16" t="str">
        <x:v>manual_review</x:v>
      </x:c>
      <x:c r="H57" s="16" t="str">
        <x:v>P1</x:v>
      </x:c>
      <x:c r="I57" s="16" t="str">
        <x:v>core</x:v>
      </x:c>
      <x:c r="J57" s="16" t="str">
        <x:v>direct; supporting | direct; supporting</x:v>
      </x:c>
      <x:c r="K57" s="16" t="str">
        <x:v>OWASP_ASVS; OWASP_SAMM; OWASP_TOP10; NIST_SSDF; NIST_800_53; ISO27034; ISO27001</x:v>
      </x:c>
      <x:c r="L57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57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57" s="16" t="str">
        <x:v>not_assessed</x:v>
      </x:c>
      <x:c r="O57" s="16" t="str"/>
      <x:c r="P57" s="18" t="str"/>
      <x:c r="Q57" s="16" t="str"/>
      <x:c r="R57" s="16" t="str"/>
      <x:c r="S57" s="16" t="str"/>
      <x:c r="T57" s="18" t="str"/>
      <x:c r="U57" s="16" t="str"/>
      <x:c r="V57" s="16" t="n">
        <x:v>0</x:v>
      </x:c>
    </x:row>
    <x:row r="58">
      <x:c r="A58" s="16" t="str">
        <x:v>FWPRO-ARCH-006</x:v>
      </x:c>
      <x:c r="B58" s="16" t="str">
        <x:v>ARCH</x:v>
      </x:c>
      <x:c r="C58" s="16" t="str">
        <x:v>Secure architecture and application design</x:v>
      </x:c>
      <x:c r="D58" s="16" t="str">
        <x:v>Avoid placing secrets, security decisions or privileged business rules in client-side code.</x:v>
      </x:c>
      <x:c r="E58" s="16" t="str">
        <x:v>An accountable owner/reviewer confirms the control using current artifacts or reproducible test steps; exceptions have rationale, approver, compensating control and expiry. Control objective: Avoid placing secrets, security decisions or privileged business rules in client-side code.</x:v>
      </x:c>
      <x:c r="F58" s="16" t="str">
        <x:v>Reviewer steps, expected/observed result, sanitized evidence, impact, reviewer and approval/ticket.</x:v>
      </x:c>
      <x:c r="G58" s="16" t="str">
        <x:v>manual_review</x:v>
      </x:c>
      <x:c r="H58" s="16" t="str">
        <x:v>P1</x:v>
      </x:c>
      <x:c r="I58" s="16" t="str">
        <x:v>core</x:v>
      </x:c>
      <x:c r="J58" s="16" t="str">
        <x:v>direct; supporting | direct; supporting</x:v>
      </x:c>
      <x:c r="K58" s="16" t="str">
        <x:v>OWASP_ASVS; OWASP_SAMM; OWASP_TOP10; NIST_SSDF; NIST_800_53; ISO27034; ISO27001</x:v>
      </x:c>
      <x:c r="L58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58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58" s="16" t="str">
        <x:v>not_assessed</x:v>
      </x:c>
      <x:c r="O58" s="16" t="str"/>
      <x:c r="P58" s="18" t="str"/>
      <x:c r="Q58" s="16" t="str"/>
      <x:c r="R58" s="16" t="str"/>
      <x:c r="S58" s="16" t="str"/>
      <x:c r="T58" s="18" t="str"/>
      <x:c r="U58" s="16" t="str"/>
      <x:c r="V58" s="16" t="n">
        <x:v>0</x:v>
      </x:c>
    </x:row>
    <x:row r="59">
      <x:c r="A59" s="16" t="str">
        <x:v>FWPRO-ARCH-007</x:v>
      </x:c>
      <x:c r="B59" s="16" t="str">
        <x:v>ARCH</x:v>
      </x:c>
      <x:c r="C59" s="16" t="str">
        <x:v>Secure architecture and application design</x:v>
      </x:c>
      <x:c r="D59" s="16" t="str">
        <x:v>Use explicit data ownership and tenant-context propagation across service boundaries.</x:v>
      </x:c>
      <x:c r="E59" s="16" t="str">
        <x:v>An accountable owner/reviewer confirms the control using current artifacts or reproducible test steps; exceptions have rationale, approver, compensating control and expiry. Control objective: Use explicit data ownership and tenant-context propagation across service boundaries.</x:v>
      </x:c>
      <x:c r="F59" s="16" t="str">
        <x:v>Reviewer steps, expected/observed result, sanitized evidence, impact, reviewer and approval/ticket.</x:v>
      </x:c>
      <x:c r="G59" s="16" t="str">
        <x:v>manual_review</x:v>
      </x:c>
      <x:c r="H59" s="16" t="str">
        <x:v>P1</x:v>
      </x:c>
      <x:c r="I59" s="16" t="str">
        <x:v>core</x:v>
      </x:c>
      <x:c r="J59" s="16" t="str">
        <x:v>direct; supporting | direct; supporting</x:v>
      </x:c>
      <x:c r="K59" s="16" t="str">
        <x:v>OWASP_ASVS; OWASP_SAMM; OWASP_TOP10; NIST_SSDF; NIST_800_53; ISO27034; ISO27001</x:v>
      </x:c>
      <x:c r="L59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59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59" s="16" t="str">
        <x:v>not_assessed</x:v>
      </x:c>
      <x:c r="O59" s="16" t="str"/>
      <x:c r="P59" s="18" t="str"/>
      <x:c r="Q59" s="16" t="str"/>
      <x:c r="R59" s="16" t="str"/>
      <x:c r="S59" s="16" t="str"/>
      <x:c r="T59" s="18" t="str"/>
      <x:c r="U59" s="16" t="str"/>
      <x:c r="V59" s="16" t="n">
        <x:v>0</x:v>
      </x:c>
    </x:row>
    <x:row r="60">
      <x:c r="A60" s="16" t="str">
        <x:v>FWPRO-ARCH-008</x:v>
      </x:c>
      <x:c r="B60" s="16" t="str">
        <x:v>ARCH</x:v>
      </x:c>
      <x:c r="C60" s="16" t="str">
        <x:v>Secure architecture and application design</x:v>
      </x:c>
      <x:c r="D60" s="16" t="str">
        <x:v>Define safe error behavior and failure modes for unavailable identity, authorization and policy services.</x:v>
      </x:c>
      <x:c r="E60" s="16" t="str">
        <x:v>An accountable owner/reviewer confirms the control using current artifacts or reproducible test steps; exceptions have rationale, approver, compensating control and expiry. Control objective: Define safe error behavior and failure modes for unavailable identity, authorization and policy services.</x:v>
      </x:c>
      <x:c r="F60" s="16" t="str">
        <x:v>Reviewer steps, expected/observed result, sanitized evidence, impact, reviewer and approval/ticket.</x:v>
      </x:c>
      <x:c r="G60" s="16" t="str">
        <x:v>manual_review</x:v>
      </x:c>
      <x:c r="H60" s="16" t="str">
        <x:v>P1</x:v>
      </x:c>
      <x:c r="I60" s="16" t="str">
        <x:v>core</x:v>
      </x:c>
      <x:c r="J60" s="16" t="str">
        <x:v>direct; supporting | direct; supporting</x:v>
      </x:c>
      <x:c r="K60" s="16" t="str">
        <x:v>OWASP_ASVS; OWASP_SAMM; OWASP_TOP10; NIST_SSDF; NIST_800_53; ISO27034; ISO27001</x:v>
      </x:c>
      <x:c r="L60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0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0" s="16" t="str">
        <x:v>not_assessed</x:v>
      </x:c>
      <x:c r="O60" s="16" t="str"/>
      <x:c r="P60" s="18" t="str"/>
      <x:c r="Q60" s="16" t="str"/>
      <x:c r="R60" s="16" t="str"/>
      <x:c r="S60" s="16" t="str"/>
      <x:c r="T60" s="18" t="str"/>
      <x:c r="U60" s="16" t="str"/>
      <x:c r="V60" s="16" t="n">
        <x:v>0</x:v>
      </x:c>
    </x:row>
    <x:row r="61">
      <x:c r="A61" s="16" t="str">
        <x:v>FWPRO-ARCH-009</x:v>
      </x:c>
      <x:c r="B61" s="16" t="str">
        <x:v>ARCH</x:v>
      </x:c>
      <x:c r="C61" s="16" t="str">
        <x:v>Secure architecture and application design</x:v>
      </x:c>
      <x:c r="D61" s="16" t="str">
        <x:v>Design idempotency and replay protections for actions with financial or irreversible effects.</x:v>
      </x:c>
      <x:c r="E61" s="16" t="str">
        <x:v>An accountable owner/reviewer confirms the control using current artifacts or reproducible test steps; exceptions have rationale, approver, compensating control and expiry. Control objective: Design idempotency and replay protections for actions with financial or irreversible effects.</x:v>
      </x:c>
      <x:c r="F61" s="16" t="str">
        <x:v>Reviewer steps, expected/observed result, sanitized evidence, impact, reviewer and approval/ticket.</x:v>
      </x:c>
      <x:c r="G61" s="16" t="str">
        <x:v>manual_review</x:v>
      </x:c>
      <x:c r="H61" s="16" t="str">
        <x:v>P1</x:v>
      </x:c>
      <x:c r="I61" s="16" t="str">
        <x:v>core</x:v>
      </x:c>
      <x:c r="J61" s="16" t="str">
        <x:v>direct; supporting | direct; supporting</x:v>
      </x:c>
      <x:c r="K61" s="16" t="str">
        <x:v>OWASP_ASVS; OWASP_SAMM; OWASP_TOP10; NIST_SSDF; NIST_800_53; ISO27034; ISO27001</x:v>
      </x:c>
      <x:c r="L61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1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1" s="16" t="str">
        <x:v>not_assessed</x:v>
      </x:c>
      <x:c r="O61" s="16" t="str"/>
      <x:c r="P61" s="18" t="str"/>
      <x:c r="Q61" s="16" t="str"/>
      <x:c r="R61" s="16" t="str"/>
      <x:c r="S61" s="16" t="str"/>
      <x:c r="T61" s="18" t="str"/>
      <x:c r="U61" s="16" t="str"/>
      <x:c r="V61" s="16" t="n">
        <x:v>0</x:v>
      </x:c>
    </x:row>
    <x:row r="62">
      <x:c r="A62" s="16" t="str">
        <x:v>FWPRO-ARCH-010</x:v>
      </x:c>
      <x:c r="B62" s="16" t="str">
        <x:v>ARCH</x:v>
      </x:c>
      <x:c r="C62" s="16" t="str">
        <x:v>Secure architecture and application design</x:v>
      </x:c>
      <x:c r="D62" s="16" t="str">
        <x:v>Design rate, quota and resource controls around business operations and expensive code paths.</x:v>
      </x:c>
      <x:c r="E62" s="16" t="str">
        <x:v>An accountable owner/reviewer confirms the control using current artifacts or reproducible test steps; exceptions have rationale, approver, compensating control and expiry. Control objective: Design rate, quota and resource controls around business operations and expensive code paths.</x:v>
      </x:c>
      <x:c r="F62" s="16" t="str">
        <x:v>Reviewer steps, expected/observed result, sanitized evidence, impact, reviewer and approval/ticket.</x:v>
      </x:c>
      <x:c r="G62" s="16" t="str">
        <x:v>manual_review</x:v>
      </x:c>
      <x:c r="H62" s="16" t="str">
        <x:v>P1</x:v>
      </x:c>
      <x:c r="I62" s="16" t="str">
        <x:v>core</x:v>
      </x:c>
      <x:c r="J62" s="16" t="str">
        <x:v>direct; supporting | direct; supporting</x:v>
      </x:c>
      <x:c r="K62" s="16" t="str">
        <x:v>OWASP_ASVS; OWASP_SAMM; OWASP_TOP10; NIST_SSDF; NIST_800_53; ISO27034; ISO27001</x:v>
      </x:c>
      <x:c r="L62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2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2" s="16" t="str">
        <x:v>not_assessed</x:v>
      </x:c>
      <x:c r="O62" s="16" t="str"/>
      <x:c r="P62" s="18" t="str"/>
      <x:c r="Q62" s="16" t="str"/>
      <x:c r="R62" s="16" t="str"/>
      <x:c r="S62" s="16" t="str"/>
      <x:c r="T62" s="18" t="str"/>
      <x:c r="U62" s="16" t="str"/>
      <x:c r="V62" s="16" t="n">
        <x:v>0</x:v>
      </x:c>
    </x:row>
    <x:row r="63">
      <x:c r="A63" s="16" t="str">
        <x:v>FWPRO-ARCH-011</x:v>
      </x:c>
      <x:c r="B63" s="16" t="str">
        <x:v>ARCH</x:v>
      </x:c>
      <x:c r="C63" s="16" t="str">
        <x:v>Secure architecture and application design</x:v>
      </x:c>
      <x:c r="D63" s="16" t="str">
        <x:v>Review use of caches, reverse proxies and CDNs for private or tenant-specific content leakage.</x:v>
      </x:c>
      <x:c r="E63" s="16" t="str">
        <x:v>An accountable owner/reviewer confirms the control using current artifacts or reproducible test steps; exceptions have rationale, approver, compensating control and expiry. Control objective: Review use of caches, reverse proxies and CDNs for private or tenant-specific content leakage.</x:v>
      </x:c>
      <x:c r="F63" s="16" t="str">
        <x:v>Reviewer steps, expected/observed result, sanitized evidence, impact, reviewer and approval/ticket.</x:v>
      </x:c>
      <x:c r="G63" s="16" t="str">
        <x:v>manual_review</x:v>
      </x:c>
      <x:c r="H63" s="16" t="str">
        <x:v>P1</x:v>
      </x:c>
      <x:c r="I63" s="16" t="str">
        <x:v>core</x:v>
      </x:c>
      <x:c r="J63" s="16" t="str">
        <x:v>direct; supporting | direct; supporting</x:v>
      </x:c>
      <x:c r="K63" s="16" t="str">
        <x:v>OWASP_ASVS; OWASP_SAMM; OWASP_TOP10; NIST_SSDF; NIST_800_53; ISO27034; ISO27001</x:v>
      </x:c>
      <x:c r="L63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3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3" s="16" t="str">
        <x:v>not_assessed</x:v>
      </x:c>
      <x:c r="O63" s="16" t="str"/>
      <x:c r="P63" s="18" t="str"/>
      <x:c r="Q63" s="16" t="str"/>
      <x:c r="R63" s="16" t="str"/>
      <x:c r="S63" s="16" t="str"/>
      <x:c r="T63" s="18" t="str"/>
      <x:c r="U63" s="16" t="str"/>
      <x:c r="V63" s="16" t="n">
        <x:v>0</x:v>
      </x:c>
    </x:row>
    <x:row r="64">
      <x:c r="A64" s="16" t="str">
        <x:v>FWPRO-ARCH-012</x:v>
      </x:c>
      <x:c r="B64" s="16" t="str">
        <x:v>ARCH</x:v>
      </x:c>
      <x:c r="C64" s="16" t="str">
        <x:v>Secure architecture and application design</x:v>
      </x:c>
      <x:c r="D64" s="16" t="str">
        <x:v>Use a secure-by-default configuration and require explicit opt-in for risky capabilities.</x:v>
      </x:c>
      <x:c r="E64" s="16" t="str">
        <x:v>An accountable owner/reviewer confirms the control using current artifacts or reproducible test steps; exceptions have rationale, approver, compensating control and expiry. Control objective: Use a secure-by-default configuration and require explicit opt-in for risky capabilities.</x:v>
      </x:c>
      <x:c r="F64" s="16" t="str">
        <x:v>Reviewer steps, expected/observed result, sanitized evidence, impact, reviewer and approval/ticket.</x:v>
      </x:c>
      <x:c r="G64" s="16" t="str">
        <x:v>manual_review</x:v>
      </x:c>
      <x:c r="H64" s="16" t="str">
        <x:v>P1</x:v>
      </x:c>
      <x:c r="I64" s="16" t="str">
        <x:v>core</x:v>
      </x:c>
      <x:c r="J64" s="16" t="str">
        <x:v>direct; supporting | direct; supporting</x:v>
      </x:c>
      <x:c r="K64" s="16" t="str">
        <x:v>OWASP_ASVS; OWASP_SAMM; OWASP_TOP10; NIST_SSDF; NIST_800_53; ISO27034; ISO27001</x:v>
      </x:c>
      <x:c r="L64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4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4" s="16" t="str">
        <x:v>not_assessed</x:v>
      </x:c>
      <x:c r="O64" s="16" t="str"/>
      <x:c r="P64" s="18" t="str"/>
      <x:c r="Q64" s="16" t="str"/>
      <x:c r="R64" s="16" t="str"/>
      <x:c r="S64" s="16" t="str"/>
      <x:c r="T64" s="18" t="str"/>
      <x:c r="U64" s="16" t="str"/>
      <x:c r="V64" s="16" t="n">
        <x:v>0</x:v>
      </x:c>
    </x:row>
    <x:row r="65">
      <x:c r="A65" s="16" t="str">
        <x:v>FWPRO-ARCH-013</x:v>
      </x:c>
      <x:c r="B65" s="16" t="str">
        <x:v>ARCH</x:v>
      </x:c>
      <x:c r="C65" s="16" t="str">
        <x:v>Secure architecture and application design</x:v>
      </x:c>
      <x:c r="D65" s="16" t="str">
        <x:v>Document security boundaries around webhooks, URL previewers, importers and export generators.</x:v>
      </x:c>
      <x:c r="E65" s="16" t="str">
        <x:v>An accountable owner/reviewer confirms the control using current artifacts or reproducible test steps; exceptions have rationale, approver, compensating control and expiry. Control objective: Document security boundaries around webhooks, URL previewers, importers and export generators.</x:v>
      </x:c>
      <x:c r="F65" s="16" t="str">
        <x:v>Reviewer steps, expected/observed result, sanitized evidence, impact, reviewer and approval/ticket.</x:v>
      </x:c>
      <x:c r="G65" s="16" t="str">
        <x:v>manual_review</x:v>
      </x:c>
      <x:c r="H65" s="16" t="str">
        <x:v>P1</x:v>
      </x:c>
      <x:c r="I65" s="16" t="str">
        <x:v>core</x:v>
      </x:c>
      <x:c r="J65" s="16" t="str">
        <x:v>direct; supporting | direct; supporting</x:v>
      </x:c>
      <x:c r="K65" s="16" t="str">
        <x:v>OWASP_ASVS; OWASP_SAMM; OWASP_TOP10; NIST_SSDF; NIST_800_53; ISO27034; ISO27001</x:v>
      </x:c>
      <x:c r="L65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5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5" s="16" t="str">
        <x:v>not_assessed</x:v>
      </x:c>
      <x:c r="O65" s="16" t="str"/>
      <x:c r="P65" s="18" t="str"/>
      <x:c r="Q65" s="16" t="str"/>
      <x:c r="R65" s="16" t="str"/>
      <x:c r="S65" s="16" t="str"/>
      <x:c r="T65" s="18" t="str"/>
      <x:c r="U65" s="16" t="str"/>
      <x:c r="V65" s="16" t="n">
        <x:v>0</x:v>
      </x:c>
    </x:row>
    <x:row r="66">
      <x:c r="A66" s="16" t="str">
        <x:v>FWPRO-ARCH-014</x:v>
      </x:c>
      <x:c r="B66" s="16" t="str">
        <x:v>ARCH</x:v>
      </x:c>
      <x:c r="C66" s="16" t="str">
        <x:v>Secure architecture and application design</x:v>
      </x:c>
      <x:c r="D66" s="16" t="str">
        <x:v>Review cryptographic design and key lifecycle before implementing custom cryptography.</x:v>
      </x:c>
      <x:c r="E66" s="16" t="str">
        <x:v>An accountable owner/reviewer confirms the control using current artifacts or reproducible test steps; exceptions have rationale, approver, compensating control and expiry. Control objective: Review cryptographic design and key lifecycle before implementing custom cryptography.</x:v>
      </x:c>
      <x:c r="F66" s="16" t="str">
        <x:v>Reviewer steps, expected/observed result, sanitized evidence, impact, reviewer and approval/ticket.</x:v>
      </x:c>
      <x:c r="G66" s="16" t="str">
        <x:v>manual_review</x:v>
      </x:c>
      <x:c r="H66" s="16" t="str">
        <x:v>P1</x:v>
      </x:c>
      <x:c r="I66" s="16" t="str">
        <x:v>core</x:v>
      </x:c>
      <x:c r="J66" s="16" t="str">
        <x:v>direct; supporting | direct; supporting</x:v>
      </x:c>
      <x:c r="K66" s="16" t="str">
        <x:v>OWASP_ASVS; OWASP_SAMM; OWASP_TOP10; NIST_SSDF; NIST_800_53; ISO27034; ISO27001</x:v>
      </x:c>
      <x:c r="L66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6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6" s="16" t="str">
        <x:v>not_assessed</x:v>
      </x:c>
      <x:c r="O66" s="16" t="str"/>
      <x:c r="P66" s="18" t="str"/>
      <x:c r="Q66" s="16" t="str"/>
      <x:c r="R66" s="16" t="str"/>
      <x:c r="S66" s="16" t="str"/>
      <x:c r="T66" s="18" t="str"/>
      <x:c r="U66" s="16" t="str"/>
      <x:c r="V66" s="16" t="n">
        <x:v>0</x:v>
      </x:c>
    </x:row>
    <x:row r="67">
      <x:c r="A67" s="16" t="str">
        <x:v>FWPRO-ARCH-015</x:v>
      </x:c>
      <x:c r="B67" s="16" t="str">
        <x:v>ARCH</x:v>
      </x:c>
      <x:c r="C67" s="16" t="str">
        <x:v>Secure architecture and application design</x:v>
      </x:c>
      <x:c r="D67" s="16" t="str">
        <x:v>Record threat model and abuse-case review approvals before high-risk features go live.</x:v>
      </x:c>
      <x:c r="E67" s="16" t="str">
        <x:v>An accountable owner/reviewer confirms the control using current artifacts or reproducible test steps; exceptions have rationale, approver, compensating control and expiry. Control objective: Record threat model and abuse-case review approvals before high-risk features go live.</x:v>
      </x:c>
      <x:c r="F67" s="16" t="str">
        <x:v>Reviewer steps, expected/observed result, sanitized evidence, impact, reviewer and approval/ticket.</x:v>
      </x:c>
      <x:c r="G67" s="16" t="str">
        <x:v>manual_review</x:v>
      </x:c>
      <x:c r="H67" s="16" t="str">
        <x:v>P1</x:v>
      </x:c>
      <x:c r="I67" s="16" t="str">
        <x:v>core</x:v>
      </x:c>
      <x:c r="J67" s="16" t="str">
        <x:v>direct; supporting | direct; supporting</x:v>
      </x:c>
      <x:c r="K67" s="16" t="str">
        <x:v>OWASP_ASVS; OWASP_SAMM; OWASP_TOP10; NIST_SSDF; NIST_800_53; ISO27034; ISO27001</x:v>
      </x:c>
      <x:c r="L67" s="16" t="str">
        <x:v>OWASP Application Security Verification Standard (5.0.0 (stable)); OWASP Software Assurance Maturity Model (2.2.0 (project-listed)); OWASP Top 10 (2025 (released)); NIST SP 800-218 Secure Software Development Framework (1.1); NIST SP 800-53 Security and Privacy Controls (Rev. 5 + current errata); ISO/IEC 27034-1 Application Security (2011; reviewed/confirmed current in 2022); ISO/IEC 27001 (2022)</x:v>
      </x:c>
      <x:c r="M67" s="16" t="str">
        <x:v>https://owasp.org/www-project-application-security-verification-standard/; https://owaspsamm.org/model/; https://owasp.org/projects/top-ten; https://csrc.nist.gov/pubs/sp/800/218/final; https://csrc.nist.gov/pubs/sp/800/53/r5/upd1/final; https://www.iso.org/standard/44378.html; https://www.iso.org/standard/27001</x:v>
      </x:c>
      <x:c r="N67" s="16" t="str">
        <x:v>not_assessed</x:v>
      </x:c>
      <x:c r="O67" s="16" t="str"/>
      <x:c r="P67" s="18" t="str"/>
      <x:c r="Q67" s="16" t="str"/>
      <x:c r="R67" s="16" t="str"/>
      <x:c r="S67" s="16" t="str"/>
      <x:c r="T67" s="18" t="str"/>
      <x:c r="U67" s="16" t="str"/>
      <x:c r="V67" s="16" t="n">
        <x:v>0</x:v>
      </x:c>
    </x:row>
    <x:row r="68">
      <x:c r="A68" s="16" t="str">
        <x:v>FWPRO-AUTHN-001</x:v>
      </x:c>
      <x:c r="B68" s="16" t="str">
        <x:v>AUTHN</x:v>
      </x:c>
      <x:c r="C68" s="16" t="str">
        <x:v>Authentication, identity lifecycle and federation</x:v>
      </x:c>
      <x:c r="D68" s="16" t="str">
        <x:v>Use secure authentication protocols and avoid bespoke password/token schemes.</x:v>
      </x:c>
      <x:c r="E68" s="16" t="str">
        <x:v>An accountable owner/reviewer confirms the control using current artifacts or reproducible test steps; exceptions have rationale, approver, compensating control and expiry. Control objective: Use secure authentication protocols and avoid bespoke password/token schemes.</x:v>
      </x:c>
      <x:c r="F68" s="16" t="str">
        <x:v>Reviewer steps, expected/observed result, sanitized evidence, impact, reviewer and approval/ticket.</x:v>
      </x:c>
      <x:c r="G68" s="16" t="str">
        <x:v>manual_review</x:v>
      </x:c>
      <x:c r="H68" s="16" t="str">
        <x:v>P0</x:v>
      </x:c>
      <x:c r="I68" s="16" t="str">
        <x:v>core</x:v>
      </x:c>
      <x:c r="J68" s="16" t="str">
        <x:v>conditional; direct; supporting | conditional; direct; supporting</x:v>
      </x:c>
      <x:c r="K68" s="16" t="str">
        <x:v>OWASP_ASVS; OWASP_WSTG; OWASP_TOP10; NIST_800_63; NIST_800_53; ISO27002; OAUTH_RFC9700; OIDC; PKCE_RFC7636</x:v>
      </x:c>
      <x:c r="L68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68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68" s="16" t="str">
        <x:v>not_assessed</x:v>
      </x:c>
      <x:c r="O68" s="16" t="str"/>
      <x:c r="P68" s="18" t="str"/>
      <x:c r="Q68" s="16" t="str"/>
      <x:c r="R68" s="16" t="str"/>
      <x:c r="S68" s="16" t="str"/>
      <x:c r="T68" s="18" t="str"/>
      <x:c r="U68" s="16" t="str"/>
      <x:c r="V68" s="16" t="n">
        <x:v>0</x:v>
      </x:c>
    </x:row>
    <x:row r="69">
      <x:c r="A69" s="16" t="str">
        <x:v>FWPRO-AUTHN-002</x:v>
      </x:c>
      <x:c r="B69" s="16" t="str">
        <x:v>AUTHN</x:v>
      </x:c>
      <x:c r="C69" s="16" t="str">
        <x:v>Authentication, identity lifecycle and federation</x:v>
      </x:c>
      <x:c r="D69" s="16" t="str">
        <x:v>Require multi-factor authentication for privileged and high-risk accounts where appropriate.</x:v>
      </x:c>
      <x:c r="E69" s="16" t="str">
        <x:v>An accountable owner/reviewer confirms the control using current artifacts or reproducible test steps; exceptions have rationale, approver, compensating control and expiry. Control objective: Require multi-factor authentication for privileged and high-risk accounts where appropriate.</x:v>
      </x:c>
      <x:c r="F69" s="16" t="str">
        <x:v>Reviewer steps, expected/observed result, sanitized evidence, impact, reviewer and approval/ticket.</x:v>
      </x:c>
      <x:c r="G69" s="16" t="str">
        <x:v>manual_review</x:v>
      </x:c>
      <x:c r="H69" s="16" t="str">
        <x:v>P0</x:v>
      </x:c>
      <x:c r="I69" s="16" t="str">
        <x:v>core</x:v>
      </x:c>
      <x:c r="J69" s="16" t="str">
        <x:v>conditional; direct; supporting | conditional; direct; supporting</x:v>
      </x:c>
      <x:c r="K69" s="16" t="str">
        <x:v>OWASP_ASVS; OWASP_WSTG; OWASP_TOP10; NIST_800_63; NIST_800_53; ISO27002; OAUTH_RFC9700; OIDC; PKCE_RFC7636</x:v>
      </x:c>
      <x:c r="L69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69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69" s="16" t="str">
        <x:v>not_assessed</x:v>
      </x:c>
      <x:c r="O69" s="16" t="str"/>
      <x:c r="P69" s="18" t="str"/>
      <x:c r="Q69" s="16" t="str"/>
      <x:c r="R69" s="16" t="str"/>
      <x:c r="S69" s="16" t="str"/>
      <x:c r="T69" s="18" t="str"/>
      <x:c r="U69" s="16" t="str"/>
      <x:c r="V69" s="16" t="n">
        <x:v>0</x:v>
      </x:c>
    </x:row>
    <x:row r="70">
      <x:c r="A70" s="16" t="str">
        <x:v>FWPRO-AUTHN-003</x:v>
      </x:c>
      <x:c r="B70" s="16" t="str">
        <x:v>AUTHN</x:v>
      </x:c>
      <x:c r="C70" s="16" t="str">
        <x:v>Authentication, identity lifecycle and federation</x:v>
      </x:c>
      <x:c r="D70" s="16" t="str">
        <x:v>Protect password reset and account recovery with short-lived, single-use, purpose-bound tokens.</x:v>
      </x:c>
      <x:c r="E70" s="16" t="str">
        <x:v>An accountable owner/reviewer confirms the control using current artifacts or reproducible test steps; exceptions have rationale, approver, compensating control and expiry. Control objective: Protect password reset and account recovery with short-lived, single-use, purpose-bound tokens.</x:v>
      </x:c>
      <x:c r="F70" s="16" t="str">
        <x:v>Reviewer steps, expected/observed result, sanitized evidence, impact, reviewer and approval/ticket.</x:v>
      </x:c>
      <x:c r="G70" s="16" t="str">
        <x:v>manual_review</x:v>
      </x:c>
      <x:c r="H70" s="16" t="str">
        <x:v>P0</x:v>
      </x:c>
      <x:c r="I70" s="16" t="str">
        <x:v>core</x:v>
      </x:c>
      <x:c r="J70" s="16" t="str">
        <x:v>conditional; direct; supporting | conditional; direct; supporting</x:v>
      </x:c>
      <x:c r="K70" s="16" t="str">
        <x:v>OWASP_ASVS; OWASP_WSTG; OWASP_TOP10; NIST_800_63; NIST_800_53; ISO27002; OAUTH_RFC9700; OIDC; PKCE_RFC7636</x:v>
      </x:c>
      <x:c r="L70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0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0" s="16" t="str">
        <x:v>not_assessed</x:v>
      </x:c>
      <x:c r="O70" s="16" t="str"/>
      <x:c r="P70" s="18" t="str"/>
      <x:c r="Q70" s="16" t="str"/>
      <x:c r="R70" s="16" t="str"/>
      <x:c r="S70" s="16" t="str"/>
      <x:c r="T70" s="18" t="str"/>
      <x:c r="U70" s="16" t="str"/>
      <x:c r="V70" s="16" t="n">
        <x:v>0</x:v>
      </x:c>
    </x:row>
    <x:row r="71">
      <x:c r="A71" s="16" t="str">
        <x:v>FWPRO-AUTHN-004</x:v>
      </x:c>
      <x:c r="B71" s="16" t="str">
        <x:v>AUTHN</x:v>
      </x:c>
      <x:c r="C71" s="16" t="str">
        <x:v>Authentication, identity lifecycle and federation</x:v>
      </x:c>
      <x:c r="D71" s="16" t="str">
        <x:v>Prevent account enumeration through consistent responses and timing where feasible.</x:v>
      </x:c>
      <x:c r="E71" s="16" t="str">
        <x:v>An accountable owner/reviewer confirms the control using current artifacts or reproducible test steps; exceptions have rationale, approver, compensating control and expiry. Control objective: Prevent account enumeration through consistent responses and timing where feasible.</x:v>
      </x:c>
      <x:c r="F71" s="16" t="str">
        <x:v>Reviewer steps, expected/observed result, sanitized evidence, impact, reviewer and approval/ticket.</x:v>
      </x:c>
      <x:c r="G71" s="16" t="str">
        <x:v>manual_review</x:v>
      </x:c>
      <x:c r="H71" s="16" t="str">
        <x:v>P0</x:v>
      </x:c>
      <x:c r="I71" s="16" t="str">
        <x:v>core</x:v>
      </x:c>
      <x:c r="J71" s="16" t="str">
        <x:v>conditional; direct; supporting | conditional; direct; supporting</x:v>
      </x:c>
      <x:c r="K71" s="16" t="str">
        <x:v>OWASP_ASVS; OWASP_WSTG; OWASP_TOP10; NIST_800_63; NIST_800_53; ISO27002; OAUTH_RFC9700; OIDC; PKCE_RFC7636</x:v>
      </x:c>
      <x:c r="L71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1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1" s="16" t="str">
        <x:v>not_assessed</x:v>
      </x:c>
      <x:c r="O71" s="16" t="str"/>
      <x:c r="P71" s="18" t="str"/>
      <x:c r="Q71" s="16" t="str"/>
      <x:c r="R71" s="16" t="str"/>
      <x:c r="S71" s="16" t="str"/>
      <x:c r="T71" s="18" t="str"/>
      <x:c r="U71" s="16" t="str"/>
      <x:c r="V71" s="16" t="n">
        <x:v>0</x:v>
      </x:c>
    </x:row>
    <x:row r="72">
      <x:c r="A72" s="16" t="str">
        <x:v>FWPRO-AUTHN-005</x:v>
      </x:c>
      <x:c r="B72" s="16" t="str">
        <x:v>AUTHN</x:v>
      </x:c>
      <x:c r="C72" s="16" t="str">
        <x:v>Authentication, identity lifecycle and federation</x:v>
      </x:c>
      <x:c r="D72" s="16" t="str">
        <x:v>Apply rate limits and abuse controls to login, registration, recovery, OTP and verification endpoints.</x:v>
      </x:c>
      <x:c r="E72" s="16" t="str">
        <x:v>An accountable owner/reviewer confirms the control using current artifacts or reproducible test steps; exceptions have rationale, approver, compensating control and expiry. Control objective: Apply rate limits and abuse controls to login, registration, recovery, OTP and verification endpoints.</x:v>
      </x:c>
      <x:c r="F72" s="16" t="str">
        <x:v>Reviewer steps, expected/observed result, sanitized evidence, impact, reviewer and approval/ticket.</x:v>
      </x:c>
      <x:c r="G72" s="16" t="str">
        <x:v>manual_review</x:v>
      </x:c>
      <x:c r="H72" s="16" t="str">
        <x:v>P0</x:v>
      </x:c>
      <x:c r="I72" s="16" t="str">
        <x:v>core</x:v>
      </x:c>
      <x:c r="J72" s="16" t="str">
        <x:v>conditional; direct; supporting | conditional; direct; supporting</x:v>
      </x:c>
      <x:c r="K72" s="16" t="str">
        <x:v>OWASP_ASVS; OWASP_WSTG; OWASP_TOP10; NIST_800_63; NIST_800_53; ISO27002; OAUTH_RFC9700; OIDC; PKCE_RFC7636</x:v>
      </x:c>
      <x:c r="L72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2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2" s="16" t="str">
        <x:v>not_assessed</x:v>
      </x:c>
      <x:c r="O72" s="16" t="str"/>
      <x:c r="P72" s="18" t="str"/>
      <x:c r="Q72" s="16" t="str"/>
      <x:c r="R72" s="16" t="str"/>
      <x:c r="S72" s="16" t="str"/>
      <x:c r="T72" s="18" t="str"/>
      <x:c r="U72" s="16" t="str"/>
      <x:c r="V72" s="16" t="n">
        <x:v>0</x:v>
      </x:c>
    </x:row>
    <x:row r="73">
      <x:c r="A73" s="16" t="str">
        <x:v>FWPRO-AUTHN-006</x:v>
      </x:c>
      <x:c r="B73" s="16" t="str">
        <x:v>AUTHN</x:v>
      </x:c>
      <x:c r="C73" s="16" t="str">
        <x:v>Authentication, identity lifecycle and federation</x:v>
      </x:c>
      <x:c r="D73" s="16" t="str">
        <x:v>Store passwords using a current, purpose-built password hashing scheme with suitable work factors and salts.</x:v>
      </x:c>
      <x:c r="E73" s="16" t="str">
        <x:v>An accountable owner/reviewer confirms the control using current artifacts or reproducible test steps; exceptions have rationale, approver, compensating control and expiry. Control objective: Store passwords using a current, purpose-built password hashing scheme with suitable work factors and salts.</x:v>
      </x:c>
      <x:c r="F73" s="16" t="str">
        <x:v>Reviewer steps, expected/observed result, sanitized evidence, impact, reviewer and approval/ticket.</x:v>
      </x:c>
      <x:c r="G73" s="16" t="str">
        <x:v>manual_review</x:v>
      </x:c>
      <x:c r="H73" s="16" t="str">
        <x:v>P0</x:v>
      </x:c>
      <x:c r="I73" s="16" t="str">
        <x:v>core</x:v>
      </x:c>
      <x:c r="J73" s="16" t="str">
        <x:v>conditional; direct; supporting | conditional; direct; supporting</x:v>
      </x:c>
      <x:c r="K73" s="16" t="str">
        <x:v>OWASP_ASVS; OWASP_WSTG; OWASP_TOP10; NIST_800_63; NIST_800_53; ISO27002; OAUTH_RFC9700; OIDC; PKCE_RFC7636</x:v>
      </x:c>
      <x:c r="L73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3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3" s="16" t="str">
        <x:v>not_assessed</x:v>
      </x:c>
      <x:c r="O73" s="16" t="str"/>
      <x:c r="P73" s="18" t="str"/>
      <x:c r="Q73" s="16" t="str"/>
      <x:c r="R73" s="16" t="str"/>
      <x:c r="S73" s="16" t="str"/>
      <x:c r="T73" s="18" t="str"/>
      <x:c r="U73" s="16" t="str"/>
      <x:c r="V73" s="16" t="n">
        <x:v>0</x:v>
      </x:c>
    </x:row>
    <x:row r="74">
      <x:c r="A74" s="16" t="str">
        <x:v>FWPRO-AUTHN-007</x:v>
      </x:c>
      <x:c r="B74" s="16" t="str">
        <x:v>AUTHN</x:v>
      </x:c>
      <x:c r="C74" s="16" t="str">
        <x:v>Authentication, identity lifecycle and federation</x:v>
      </x:c>
      <x:c r="D74" s="16" t="str">
        <x:v>Reject breached or policy-prohibited credentials according to risk and organizational policy.</x:v>
      </x:c>
      <x:c r="E74" s="16" t="str">
        <x:v>An accountable owner/reviewer confirms the control using current artifacts or reproducible test steps; exceptions have rationale, approver, compensating control and expiry. Control objective: Reject breached or policy-prohibited credentials according to risk and organizational policy.</x:v>
      </x:c>
      <x:c r="F74" s="16" t="str">
        <x:v>Reviewer steps, expected/observed result, sanitized evidence, impact, reviewer and approval/ticket.</x:v>
      </x:c>
      <x:c r="G74" s="16" t="str">
        <x:v>manual_review</x:v>
      </x:c>
      <x:c r="H74" s="16" t="str">
        <x:v>P0</x:v>
      </x:c>
      <x:c r="I74" s="16" t="str">
        <x:v>core</x:v>
      </x:c>
      <x:c r="J74" s="16" t="str">
        <x:v>conditional; direct; supporting | conditional; direct; supporting</x:v>
      </x:c>
      <x:c r="K74" s="16" t="str">
        <x:v>OWASP_ASVS; OWASP_WSTG; OWASP_TOP10; NIST_800_63; NIST_800_53; ISO27002; OAUTH_RFC9700; OIDC; PKCE_RFC7636</x:v>
      </x:c>
      <x:c r="L74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4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4" s="16" t="str">
        <x:v>not_assessed</x:v>
      </x:c>
      <x:c r="O74" s="16" t="str"/>
      <x:c r="P74" s="18" t="str"/>
      <x:c r="Q74" s="16" t="str"/>
      <x:c r="R74" s="16" t="str"/>
      <x:c r="S74" s="16" t="str"/>
      <x:c r="T74" s="18" t="str"/>
      <x:c r="U74" s="16" t="str"/>
      <x:c r="V74" s="16" t="n">
        <x:v>0</x:v>
      </x:c>
    </x:row>
    <x:row r="75">
      <x:c r="A75" s="16" t="str">
        <x:v>FWPRO-AUTHN-008</x:v>
      </x:c>
      <x:c r="B75" s="16" t="str">
        <x:v>AUTHN</x:v>
      </x:c>
      <x:c r="C75" s="16" t="str">
        <x:v>Authentication, identity lifecycle and federation</x:v>
      </x:c>
      <x:c r="D75" s="16" t="str">
        <x:v>Protect authentication responses against caching and accidental token disclosure.</x:v>
      </x:c>
      <x:c r="E75" s="16" t="str">
        <x:v>An accountable owner/reviewer confirms the control using current artifacts or reproducible test steps; exceptions have rationale, approver, compensating control and expiry. Control objective: Protect authentication responses against caching and accidental token disclosure.</x:v>
      </x:c>
      <x:c r="F75" s="16" t="str">
        <x:v>Reviewer steps, expected/observed result, sanitized evidence, impact, reviewer and approval/ticket.</x:v>
      </x:c>
      <x:c r="G75" s="16" t="str">
        <x:v>manual_review</x:v>
      </x:c>
      <x:c r="H75" s="16" t="str">
        <x:v>P0</x:v>
      </x:c>
      <x:c r="I75" s="16" t="str">
        <x:v>core</x:v>
      </x:c>
      <x:c r="J75" s="16" t="str">
        <x:v>conditional; direct; supporting | conditional; direct; supporting</x:v>
      </x:c>
      <x:c r="K75" s="16" t="str">
        <x:v>OWASP_ASVS; OWASP_WSTG; OWASP_TOP10; NIST_800_63; NIST_800_53; ISO27002; OAUTH_RFC9700; OIDC; PKCE_RFC7636</x:v>
      </x:c>
      <x:c r="L75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5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5" s="16" t="str">
        <x:v>not_assessed</x:v>
      </x:c>
      <x:c r="O75" s="16" t="str"/>
      <x:c r="P75" s="18" t="str"/>
      <x:c r="Q75" s="16" t="str"/>
      <x:c r="R75" s="16" t="str"/>
      <x:c r="S75" s="16" t="str"/>
      <x:c r="T75" s="18" t="str"/>
      <x:c r="U75" s="16" t="str"/>
      <x:c r="V75" s="16" t="n">
        <x:v>0</x:v>
      </x:c>
    </x:row>
    <x:row r="76">
      <x:c r="A76" s="16" t="str">
        <x:v>FWPRO-AUTHN-009</x:v>
      </x:c>
      <x:c r="B76" s="16" t="str">
        <x:v>AUTHN</x:v>
      </x:c>
      <x:c r="C76" s="16" t="str">
        <x:v>Authentication, identity lifecycle and federation</x:v>
      </x:c>
      <x:c r="D76" s="16" t="str">
        <x:v>Rotate or invalidate sessions after login, privilege change, password reset and other security events.</x:v>
      </x:c>
      <x:c r="E76" s="16" t="str">
        <x:v>An accountable owner/reviewer confirms the control using current artifacts or reproducible test steps; exceptions have rationale, approver, compensating control and expiry. Control objective: Rotate or invalidate sessions after login, privilege change, password reset and other security events.</x:v>
      </x:c>
      <x:c r="F76" s="16" t="str">
        <x:v>Reviewer steps, expected/observed result, sanitized evidence, impact, reviewer and approval/ticket.</x:v>
      </x:c>
      <x:c r="G76" s="16" t="str">
        <x:v>manual_review</x:v>
      </x:c>
      <x:c r="H76" s="16" t="str">
        <x:v>P0</x:v>
      </x:c>
      <x:c r="I76" s="16" t="str">
        <x:v>core</x:v>
      </x:c>
      <x:c r="J76" s="16" t="str">
        <x:v>conditional; direct; supporting | conditional; direct; supporting</x:v>
      </x:c>
      <x:c r="K76" s="16" t="str">
        <x:v>OWASP_ASVS; OWASP_WSTG; OWASP_TOP10; NIST_800_63; NIST_800_53; ISO27002; OAUTH_RFC9700; OIDC; PKCE_RFC7636</x:v>
      </x:c>
      <x:c r="L76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6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6" s="16" t="str">
        <x:v>not_assessed</x:v>
      </x:c>
      <x:c r="O76" s="16" t="str"/>
      <x:c r="P76" s="18" t="str"/>
      <x:c r="Q76" s="16" t="str"/>
      <x:c r="R76" s="16" t="str"/>
      <x:c r="S76" s="16" t="str"/>
      <x:c r="T76" s="18" t="str"/>
      <x:c r="U76" s="16" t="str"/>
      <x:c r="V76" s="16" t="n">
        <x:v>0</x:v>
      </x:c>
    </x:row>
    <x:row r="77">
      <x:c r="A77" s="16" t="str">
        <x:v>FWPRO-AUTHN-010</x:v>
      </x:c>
      <x:c r="B77" s="16" t="str">
        <x:v>AUTHN</x:v>
      </x:c>
      <x:c r="C77" s="16" t="str">
        <x:v>Authentication, identity lifecycle and federation</x:v>
      </x:c>
      <x:c r="D77" s="16" t="str">
        <x:v>Ensure logout and administrative revocation invalidate server-side state where required.</x:v>
      </x:c>
      <x:c r="E77" s="16" t="str">
        <x:v>An accountable owner/reviewer confirms the control using current artifacts or reproducible test steps; exceptions have rationale, approver, compensating control and expiry. Control objective: Ensure logout and administrative revocation invalidate server-side state where required.</x:v>
      </x:c>
      <x:c r="F77" s="16" t="str">
        <x:v>Reviewer steps, expected/observed result, sanitized evidence, impact, reviewer and approval/ticket.</x:v>
      </x:c>
      <x:c r="G77" s="16" t="str">
        <x:v>manual_review</x:v>
      </x:c>
      <x:c r="H77" s="16" t="str">
        <x:v>P0</x:v>
      </x:c>
      <x:c r="I77" s="16" t="str">
        <x:v>core</x:v>
      </x:c>
      <x:c r="J77" s="16" t="str">
        <x:v>conditional; direct; supporting | conditional; direct; supporting</x:v>
      </x:c>
      <x:c r="K77" s="16" t="str">
        <x:v>OWASP_ASVS; OWASP_WSTG; OWASP_TOP10; NIST_800_63; NIST_800_53; ISO27002; OAUTH_RFC9700; OIDC; PKCE_RFC7636</x:v>
      </x:c>
      <x:c r="L77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7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7" s="16" t="str">
        <x:v>not_assessed</x:v>
      </x:c>
      <x:c r="O77" s="16" t="str"/>
      <x:c r="P77" s="18" t="str"/>
      <x:c r="Q77" s="16" t="str"/>
      <x:c r="R77" s="16" t="str"/>
      <x:c r="S77" s="16" t="str"/>
      <x:c r="T77" s="18" t="str"/>
      <x:c r="U77" s="16" t="str"/>
      <x:c r="V77" s="16" t="n">
        <x:v>0</x:v>
      </x:c>
    </x:row>
    <x:row r="78">
      <x:c r="A78" s="16" t="str">
        <x:v>FWPRO-AUTHN-011</x:v>
      </x:c>
      <x:c r="B78" s="16" t="str">
        <x:v>AUTHN</x:v>
      </x:c>
      <x:c r="C78" s="16" t="str">
        <x:v>Authentication, identity lifecycle and federation</x:v>
      </x:c>
      <x:c r="D78" s="16" t="str">
        <x:v>Validate issuer, audience, signature, expiry and intended use for JWTs and other assertions.</x:v>
      </x:c>
      <x:c r="E78" s="16" t="str">
        <x:v>An accountable owner/reviewer confirms the control using current artifacts or reproducible test steps; exceptions have rationale, approver, compensating control and expiry. Control objective: Validate issuer, audience, signature, expiry and intended use for JWTs and other assertions.</x:v>
      </x:c>
      <x:c r="F78" s="16" t="str">
        <x:v>Reviewer steps, expected/observed result, sanitized evidence, impact, reviewer and approval/ticket.</x:v>
      </x:c>
      <x:c r="G78" s="16" t="str">
        <x:v>manual_review</x:v>
      </x:c>
      <x:c r="H78" s="16" t="str">
        <x:v>P0</x:v>
      </x:c>
      <x:c r="I78" s="16" t="str">
        <x:v>core</x:v>
      </x:c>
      <x:c r="J78" s="16" t="str">
        <x:v>conditional; direct; supporting | conditional; direct; supporting</x:v>
      </x:c>
      <x:c r="K78" s="16" t="str">
        <x:v>OWASP_ASVS; OWASP_WSTG; OWASP_TOP10; NIST_800_63; NIST_800_53; ISO27002; OAUTH_RFC9700; OIDC; PKCE_RFC7636</x:v>
      </x:c>
      <x:c r="L78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8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8" s="16" t="str">
        <x:v>not_assessed</x:v>
      </x:c>
      <x:c r="O78" s="16" t="str"/>
      <x:c r="P78" s="18" t="str"/>
      <x:c r="Q78" s="16" t="str"/>
      <x:c r="R78" s="16" t="str"/>
      <x:c r="S78" s="16" t="str"/>
      <x:c r="T78" s="18" t="str"/>
      <x:c r="U78" s="16" t="str"/>
      <x:c r="V78" s="16" t="n">
        <x:v>0</x:v>
      </x:c>
    </x:row>
    <x:row r="79">
      <x:c r="A79" s="16" t="str">
        <x:v>FWPRO-AUTHN-012</x:v>
      </x:c>
      <x:c r="B79" s="16" t="str">
        <x:v>AUTHN</x:v>
      </x:c>
      <x:c r="C79" s="16" t="str">
        <x:v>Authentication, identity lifecycle and federation</x:v>
      </x:c>
      <x:c r="D79" s="16" t="str">
        <x:v>Reject algorithm confusion, key substitution and unsigned token acceptance.</x:v>
      </x:c>
      <x:c r="E79" s="16" t="str">
        <x:v>An accountable owner/reviewer confirms the control using current artifacts or reproducible test steps; exceptions have rationale, approver, compensating control and expiry. Control objective: Reject algorithm confusion, key substitution and unsigned token acceptance.</x:v>
      </x:c>
      <x:c r="F79" s="16" t="str">
        <x:v>Reviewer steps, expected/observed result, sanitized evidence, impact, reviewer and approval/ticket.</x:v>
      </x:c>
      <x:c r="G79" s="16" t="str">
        <x:v>manual_review</x:v>
      </x:c>
      <x:c r="H79" s="16" t="str">
        <x:v>P0</x:v>
      </x:c>
      <x:c r="I79" s="16" t="str">
        <x:v>core</x:v>
      </x:c>
      <x:c r="J79" s="16" t="str">
        <x:v>conditional; direct; supporting | conditional; direct; supporting</x:v>
      </x:c>
      <x:c r="K79" s="16" t="str">
        <x:v>OWASP_ASVS; OWASP_WSTG; OWASP_TOP10; NIST_800_63; NIST_800_53; ISO27002; OAUTH_RFC9700; OIDC; PKCE_RFC7636</x:v>
      </x:c>
      <x:c r="L79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79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79" s="16" t="str">
        <x:v>not_assessed</x:v>
      </x:c>
      <x:c r="O79" s="16" t="str"/>
      <x:c r="P79" s="18" t="str"/>
      <x:c r="Q79" s="16" t="str"/>
      <x:c r="R79" s="16" t="str"/>
      <x:c r="S79" s="16" t="str"/>
      <x:c r="T79" s="18" t="str"/>
      <x:c r="U79" s="16" t="str"/>
      <x:c r="V79" s="16" t="n">
        <x:v>0</x:v>
      </x:c>
    </x:row>
    <x:row r="80">
      <x:c r="A80" s="16" t="str">
        <x:v>FWPRO-AUTHN-013</x:v>
      </x:c>
      <x:c r="B80" s="16" t="str">
        <x:v>AUTHN</x:v>
      </x:c>
      <x:c r="C80" s="16" t="str">
        <x:v>Authentication, identity lifecycle and federation</x:v>
      </x:c>
      <x:c r="D80" s="16" t="str">
        <x:v>Use exact registered redirect URI matching for OAuth redirect-based flows.</x:v>
      </x:c>
      <x:c r="E80" s="16" t="str">
        <x:v>An accountable owner/reviewer confirms the control using current artifacts or reproducible test steps; exceptions have rationale, approver, compensating control and expiry. Control objective: Use exact registered redirect URI matching for OAuth redirect-based flows.</x:v>
      </x:c>
      <x:c r="F80" s="16" t="str">
        <x:v>Reviewer steps, expected/observed result, sanitized evidence, impact, reviewer and approval/ticket.</x:v>
      </x:c>
      <x:c r="G80" s="16" t="str">
        <x:v>manual_review</x:v>
      </x:c>
      <x:c r="H80" s="16" t="str">
        <x:v>P0</x:v>
      </x:c>
      <x:c r="I80" s="16" t="str">
        <x:v>core</x:v>
      </x:c>
      <x:c r="J80" s="16" t="str">
        <x:v>conditional; direct; supporting | conditional; direct; supporting</x:v>
      </x:c>
      <x:c r="K80" s="16" t="str">
        <x:v>OWASP_ASVS; OWASP_WSTG; OWASP_TOP10; NIST_800_63; NIST_800_53; ISO27002; OAUTH_RFC9700; OIDC; PKCE_RFC7636</x:v>
      </x:c>
      <x:c r="L80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0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0" s="16" t="str">
        <x:v>not_assessed</x:v>
      </x:c>
      <x:c r="O80" s="16" t="str"/>
      <x:c r="P80" s="18" t="str"/>
      <x:c r="Q80" s="16" t="str"/>
      <x:c r="R80" s="16" t="str"/>
      <x:c r="S80" s="16" t="str"/>
      <x:c r="T80" s="18" t="str"/>
      <x:c r="U80" s="16" t="str"/>
      <x:c r="V80" s="16" t="n">
        <x:v>0</x:v>
      </x:c>
    </x:row>
    <x:row r="81">
      <x:c r="A81" s="16" t="str">
        <x:v>FWPRO-AUTHN-014</x:v>
      </x:c>
      <x:c r="B81" s="16" t="str">
        <x:v>AUTHN</x:v>
      </x:c>
      <x:c r="C81" s="16" t="str">
        <x:v>Authentication, identity lifecycle and federation</x:v>
      </x:c>
      <x:c r="D81" s="16" t="str">
        <x:v>Use state and nonce protections appropriate to the selected OAuth/OIDC flow.</x:v>
      </x:c>
      <x:c r="E81" s="16" t="str">
        <x:v>An accountable owner/reviewer confirms the control using current artifacts or reproducible test steps; exceptions have rationale, approver, compensating control and expiry. Control objective: Use state and nonce protections appropriate to the selected OAuth/OIDC flow.</x:v>
      </x:c>
      <x:c r="F81" s="16" t="str">
        <x:v>Reviewer steps, expected/observed result, sanitized evidence, impact, reviewer and approval/ticket.</x:v>
      </x:c>
      <x:c r="G81" s="16" t="str">
        <x:v>manual_review</x:v>
      </x:c>
      <x:c r="H81" s="16" t="str">
        <x:v>P0</x:v>
      </x:c>
      <x:c r="I81" s="16" t="str">
        <x:v>core</x:v>
      </x:c>
      <x:c r="J81" s="16" t="str">
        <x:v>conditional; direct; supporting | conditional; direct; supporting</x:v>
      </x:c>
      <x:c r="K81" s="16" t="str">
        <x:v>OWASP_ASVS; OWASP_WSTG; OWASP_TOP10; NIST_800_63; NIST_800_53; ISO27002; OAUTH_RFC9700; OIDC; PKCE_RFC7636</x:v>
      </x:c>
      <x:c r="L81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1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1" s="16" t="str">
        <x:v>not_assessed</x:v>
      </x:c>
      <x:c r="O81" s="16" t="str"/>
      <x:c r="P81" s="18" t="str"/>
      <x:c r="Q81" s="16" t="str"/>
      <x:c r="R81" s="16" t="str"/>
      <x:c r="S81" s="16" t="str"/>
      <x:c r="T81" s="18" t="str"/>
      <x:c r="U81" s="16" t="str"/>
      <x:c r="V81" s="16" t="n">
        <x:v>0</x:v>
      </x:c>
    </x:row>
    <x:row r="82">
      <x:c r="A82" s="16" t="str">
        <x:v>FWPRO-AUTHN-015</x:v>
      </x:c>
      <x:c r="B82" s="16" t="str">
        <x:v>AUTHN</x:v>
      </x:c>
      <x:c r="C82" s="16" t="str">
        <x:v>Authentication, identity lifecycle and federation</x:v>
      </x:c>
      <x:c r="D82" s="16" t="str">
        <x:v>Require PKCE for applicable authorization-code clients and reject downgrade behavior.</x:v>
      </x:c>
      <x:c r="E82" s="16" t="str">
        <x:v>An accountable owner/reviewer confirms the control using current artifacts or reproducible test steps; exceptions have rationale, approver, compensating control and expiry. Control objective: Require PKCE for applicable authorization-code clients and reject downgrade behavior.</x:v>
      </x:c>
      <x:c r="F82" s="16" t="str">
        <x:v>Reviewer steps, expected/observed result, sanitized evidence, impact, reviewer and approval/ticket.</x:v>
      </x:c>
      <x:c r="G82" s="16" t="str">
        <x:v>manual_review</x:v>
      </x:c>
      <x:c r="H82" s="16" t="str">
        <x:v>P0</x:v>
      </x:c>
      <x:c r="I82" s="16" t="str">
        <x:v>core</x:v>
      </x:c>
      <x:c r="J82" s="16" t="str">
        <x:v>conditional; direct; supporting | conditional; direct; supporting</x:v>
      </x:c>
      <x:c r="K82" s="16" t="str">
        <x:v>OWASP_ASVS; OWASP_WSTG; OWASP_TOP10; NIST_800_63; NIST_800_53; ISO27002; OAUTH_RFC9700; OIDC; PKCE_RFC7636</x:v>
      </x:c>
      <x:c r="L82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2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2" s="16" t="str">
        <x:v>not_assessed</x:v>
      </x:c>
      <x:c r="O82" s="16" t="str"/>
      <x:c r="P82" s="18" t="str"/>
      <x:c r="Q82" s="16" t="str"/>
      <x:c r="R82" s="16" t="str"/>
      <x:c r="S82" s="16" t="str"/>
      <x:c r="T82" s="18" t="str"/>
      <x:c r="U82" s="16" t="str"/>
      <x:c r="V82" s="16" t="n">
        <x:v>0</x:v>
      </x:c>
    </x:row>
    <x:row r="83">
      <x:c r="A83" s="16" t="str">
        <x:v>FWPRO-AUTHN-016</x:v>
      </x:c>
      <x:c r="B83" s="16" t="str">
        <x:v>AUTHN</x:v>
      </x:c>
      <x:c r="C83" s="16" t="str">
        <x:v>Authentication, identity lifecycle and federation</x:v>
      </x:c>
      <x:c r="D83" s="16" t="str">
        <x:v>Prevent open redirects from leaking authorization codes or tokens.</x:v>
      </x:c>
      <x:c r="E83" s="16" t="str">
        <x:v>An accountable owner/reviewer confirms the control using current artifacts or reproducible test steps; exceptions have rationale, approver, compensating control and expiry. Control objective: Prevent open redirects from leaking authorization codes or tokens.</x:v>
      </x:c>
      <x:c r="F83" s="16" t="str">
        <x:v>Reviewer steps, expected/observed result, sanitized evidence, impact, reviewer and approval/ticket.</x:v>
      </x:c>
      <x:c r="G83" s="16" t="str">
        <x:v>manual_review</x:v>
      </x:c>
      <x:c r="H83" s="16" t="str">
        <x:v>P0</x:v>
      </x:c>
      <x:c r="I83" s="16" t="str">
        <x:v>core</x:v>
      </x:c>
      <x:c r="J83" s="16" t="str">
        <x:v>conditional; direct; supporting | conditional; direct; supporting</x:v>
      </x:c>
      <x:c r="K83" s="16" t="str">
        <x:v>OWASP_ASVS; OWASP_WSTG; OWASP_TOP10; NIST_800_63; NIST_800_53; ISO27002; OAUTH_RFC9700; OIDC; PKCE_RFC7636</x:v>
      </x:c>
      <x:c r="L83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3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3" s="16" t="str">
        <x:v>not_assessed</x:v>
      </x:c>
      <x:c r="O83" s="16" t="str"/>
      <x:c r="P83" s="18" t="str"/>
      <x:c r="Q83" s="16" t="str"/>
      <x:c r="R83" s="16" t="str"/>
      <x:c r="S83" s="16" t="str"/>
      <x:c r="T83" s="18" t="str"/>
      <x:c r="U83" s="16" t="str"/>
      <x:c r="V83" s="16" t="n">
        <x:v>0</x:v>
      </x:c>
    </x:row>
    <x:row r="84">
      <x:c r="A84" s="16" t="str">
        <x:v>FWPRO-AUTHN-017</x:v>
      </x:c>
      <x:c r="B84" s="16" t="str">
        <x:v>AUTHN</x:v>
      </x:c>
      <x:c r="C84" s="16" t="str">
        <x:v>Authentication, identity lifecycle and federation</x:v>
      </x:c>
      <x:c r="D84" s="16" t="str">
        <x:v>Protect refresh tokens with rotation or sender constraint when supported by the architecture.</x:v>
      </x:c>
      <x:c r="E84" s="16" t="str">
        <x:v>An accountable owner/reviewer confirms the control using current artifacts or reproducible test steps; exceptions have rationale, approver, compensating control and expiry. Control objective: Protect refresh tokens with rotation or sender constraint when supported by the architecture.</x:v>
      </x:c>
      <x:c r="F84" s="16" t="str">
        <x:v>Reviewer steps, expected/observed result, sanitized evidence, impact, reviewer and approval/ticket.</x:v>
      </x:c>
      <x:c r="G84" s="16" t="str">
        <x:v>manual_review</x:v>
      </x:c>
      <x:c r="H84" s="16" t="str">
        <x:v>P0</x:v>
      </x:c>
      <x:c r="I84" s="16" t="str">
        <x:v>core</x:v>
      </x:c>
      <x:c r="J84" s="16" t="str">
        <x:v>conditional; direct; supporting | conditional; direct; supporting</x:v>
      </x:c>
      <x:c r="K84" s="16" t="str">
        <x:v>OWASP_ASVS; OWASP_WSTG; OWASP_TOP10; NIST_800_63; NIST_800_53; ISO27002; OAUTH_RFC9700; OIDC; PKCE_RFC7636</x:v>
      </x:c>
      <x:c r="L84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4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4" s="16" t="str">
        <x:v>not_assessed</x:v>
      </x:c>
      <x:c r="O84" s="16" t="str"/>
      <x:c r="P84" s="18" t="str"/>
      <x:c r="Q84" s="16" t="str"/>
      <x:c r="R84" s="16" t="str"/>
      <x:c r="S84" s="16" t="str"/>
      <x:c r="T84" s="18" t="str"/>
      <x:c r="U84" s="16" t="str"/>
      <x:c r="V84" s="16" t="n">
        <x:v>0</x:v>
      </x:c>
    </x:row>
    <x:row r="85">
      <x:c r="A85" s="16" t="str">
        <x:v>FWPRO-AUTHN-018</x:v>
      </x:c>
      <x:c r="B85" s="16" t="str">
        <x:v>AUTHN</x:v>
      </x:c>
      <x:c r="C85" s="16" t="str">
        <x:v>Authentication, identity lifecycle and federation</x:v>
      </x:c>
      <x:c r="D85" s="16" t="str">
        <x:v>Implement account lifecycle controls for provisioning, deprovisioning, lockout and recovery.</x:v>
      </x:c>
      <x:c r="E85" s="16" t="str">
        <x:v>An accountable owner/reviewer confirms the control using current artifacts or reproducible test steps; exceptions have rationale, approver, compensating control and expiry. Control objective: Implement account lifecycle controls for provisioning, deprovisioning, lockout and recovery.</x:v>
      </x:c>
      <x:c r="F85" s="16" t="str">
        <x:v>Reviewer steps, expected/observed result, sanitized evidence, impact, reviewer and approval/ticket.</x:v>
      </x:c>
      <x:c r="G85" s="16" t="str">
        <x:v>manual_review</x:v>
      </x:c>
      <x:c r="H85" s="16" t="str">
        <x:v>P0</x:v>
      </x:c>
      <x:c r="I85" s="16" t="str">
        <x:v>core</x:v>
      </x:c>
      <x:c r="J85" s="16" t="str">
        <x:v>conditional; direct; supporting | conditional; direct; supporting</x:v>
      </x:c>
      <x:c r="K85" s="16" t="str">
        <x:v>OWASP_ASVS; OWASP_WSTG; OWASP_TOP10; NIST_800_63; NIST_800_53; ISO27002; OAUTH_RFC9700; OIDC; PKCE_RFC7636</x:v>
      </x:c>
      <x:c r="L85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5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5" s="16" t="str">
        <x:v>not_assessed</x:v>
      </x:c>
      <x:c r="O85" s="16" t="str"/>
      <x:c r="P85" s="18" t="str"/>
      <x:c r="Q85" s="16" t="str"/>
      <x:c r="R85" s="16" t="str"/>
      <x:c r="S85" s="16" t="str"/>
      <x:c r="T85" s="18" t="str"/>
      <x:c r="U85" s="16" t="str"/>
      <x:c r="V85" s="16" t="n">
        <x:v>0</x:v>
      </x:c>
    </x:row>
    <x:row r="86">
      <x:c r="A86" s="16" t="str">
        <x:v>FWPRO-AUTHN-019</x:v>
      </x:c>
      <x:c r="B86" s="16" t="str">
        <x:v>AUTHN</x:v>
      </x:c>
      <x:c r="C86" s="16" t="str">
        <x:v>Authentication, identity lifecycle and federation</x:v>
      </x:c>
      <x:c r="D86" s="16" t="str">
        <x:v>Use re-authentication or step-up checks for sensitive actions and changes to security settings.</x:v>
      </x:c>
      <x:c r="E86" s="16" t="str">
        <x:v>An accountable owner/reviewer confirms the control using current artifacts or reproducible test steps; exceptions have rationale, approver, compensating control and expiry. Control objective: Use re-authentication or step-up checks for sensitive actions and changes to security settings.</x:v>
      </x:c>
      <x:c r="F86" s="16" t="str">
        <x:v>Reviewer steps, expected/observed result, sanitized evidence, impact, reviewer and approval/ticket.</x:v>
      </x:c>
      <x:c r="G86" s="16" t="str">
        <x:v>manual_review</x:v>
      </x:c>
      <x:c r="H86" s="16" t="str">
        <x:v>P0</x:v>
      </x:c>
      <x:c r="I86" s="16" t="str">
        <x:v>core</x:v>
      </x:c>
      <x:c r="J86" s="16" t="str">
        <x:v>conditional; direct; supporting | conditional; direct; supporting</x:v>
      </x:c>
      <x:c r="K86" s="16" t="str">
        <x:v>OWASP_ASVS; OWASP_WSTG; OWASP_TOP10; NIST_800_63; NIST_800_53; ISO27002; OAUTH_RFC9700; OIDC; PKCE_RFC7636</x:v>
      </x:c>
      <x:c r="L86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6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6" s="16" t="str">
        <x:v>not_assessed</x:v>
      </x:c>
      <x:c r="O86" s="16" t="str"/>
      <x:c r="P86" s="18" t="str"/>
      <x:c r="Q86" s="16" t="str"/>
      <x:c r="R86" s="16" t="str"/>
      <x:c r="S86" s="16" t="str"/>
      <x:c r="T86" s="18" t="str"/>
      <x:c r="U86" s="16" t="str"/>
      <x:c r="V86" s="16" t="n">
        <x:v>0</x:v>
      </x:c>
    </x:row>
    <x:row r="87">
      <x:c r="A87" s="16" t="str">
        <x:v>FWPRO-AUTHN-020</x:v>
      </x:c>
      <x:c r="B87" s="16" t="str">
        <x:v>AUTHN</x:v>
      </x:c>
      <x:c r="C87" s="16" t="str">
        <x:v>Authentication, identity lifecycle and federation</x:v>
      </x:c>
      <x:c r="D87" s="16" t="str">
        <x:v>Document intended assurance levels for identity proofing, authenticators and federated login.</x:v>
      </x:c>
      <x:c r="E87" s="16" t="str">
        <x:v>An accountable owner/reviewer confirms the control using current artifacts or reproducible test steps; exceptions have rationale, approver, compensating control and expiry. Control objective: Document intended assurance levels for identity proofing, authenticators and federated login.</x:v>
      </x:c>
      <x:c r="F87" s="16" t="str">
        <x:v>Reviewer steps, expected/observed result, sanitized evidence, impact, reviewer and approval/ticket.</x:v>
      </x:c>
      <x:c r="G87" s="16" t="str">
        <x:v>manual_review</x:v>
      </x:c>
      <x:c r="H87" s="16" t="str">
        <x:v>P0</x:v>
      </x:c>
      <x:c r="I87" s="16" t="str">
        <x:v>core</x:v>
      </x:c>
      <x:c r="J87" s="16" t="str">
        <x:v>conditional; direct; supporting | conditional; direct; supporting</x:v>
      </x:c>
      <x:c r="K87" s="16" t="str">
        <x:v>OWASP_ASVS; OWASP_WSTG; OWASP_TOP10; NIST_800_63; NIST_800_53; ISO27002; OAUTH_RFC9700; OIDC; PKCE_RFC7636</x:v>
      </x:c>
      <x:c r="L87" s="16" t="str">
        <x:v>OWASP Application Security Verification Standard (5.0.0 (stable)); OWASP Web Security Testing Guide (v4.2 (current stable)); OWASP Top 10 (2025 (released)); NIST SP 800-63 Digital Identity Guidelines (Revision 4 (2025)); NIST SP 800-53 Security and Privacy Controls (Rev. 5 + current errata); ISO/IEC 27002 (2022); IETF RFC 9700 OAuth 2.0 Security BCP (2025); OpenID Connect Core (1.0 with errata; verify current spec set); IETF RFC 7636 PKCE (2015)</x:v>
      </x:c>
      <x:c r="M87" s="16" t="str">
        <x:v>https://owasp.org/www-project-application-security-verification-standard/; https://owasp.org/www-project-web-security-testing-guide/v42/; https://owasp.org/projects/top-ten; https://csrc.nist.gov/pubs/sp/800/63/4/final; https://csrc.nist.gov/pubs/sp/800/53/r5/upd1/final; https://www.iso.org/standard/75652.html; https://www.rfc-editor.org/rfc/rfc9700.html; https://openid.net/specs/openid-connect-core-1_0.html; https://www.rfc-editor.org/rfc/rfc7636.html</x:v>
      </x:c>
      <x:c r="N87" s="16" t="str">
        <x:v>not_assessed</x:v>
      </x:c>
      <x:c r="O87" s="16" t="str"/>
      <x:c r="P87" s="18" t="str"/>
      <x:c r="Q87" s="16" t="str"/>
      <x:c r="R87" s="16" t="str"/>
      <x:c r="S87" s="16" t="str"/>
      <x:c r="T87" s="18" t="str"/>
      <x:c r="U87" s="16" t="str"/>
      <x:c r="V87" s="16" t="n">
        <x:v>0</x:v>
      </x:c>
    </x:row>
    <x:row r="88">
      <x:c r="A88" s="16" t="str">
        <x:v>FWPRO-AUTHZ-001</x:v>
      </x:c>
      <x:c r="B88" s="16" t="str">
        <x:v>AUTHZ</x:v>
      </x:c>
      <x:c r="C88" s="16" t="str">
        <x:v>Authorization, tenancy and object-level access</x:v>
      </x:c>
      <x:c r="D88" s="16" t="str">
        <x:v>Enforce server-side authorization on every protected object, function and property access.</x:v>
      </x:c>
      <x:c r="E88" s="16" t="str">
        <x:v>An accountable owner/reviewer confirms the control using current artifacts or reproducible test steps; exceptions have rationale, approver, compensating control and expiry. Control objective: Enforce server-side authorization on every protected object, function and property access.</x:v>
      </x:c>
      <x:c r="F88" s="16" t="str">
        <x:v>Reviewer steps, expected/observed result, sanitized evidence, impact, reviewer and approval/ticket.</x:v>
      </x:c>
      <x:c r="G88" s="16" t="str">
        <x:v>manual_review</x:v>
      </x:c>
      <x:c r="H88" s="16" t="str">
        <x:v>P0</x:v>
      </x:c>
      <x:c r="I88" s="16" t="str">
        <x:v>core</x:v>
      </x:c>
      <x:c r="J88" s="16" t="str">
        <x:v>direct; supporting | direct; supporting</x:v>
      </x:c>
      <x:c r="K88" s="16" t="str">
        <x:v>OWASP_ASVS; OWASP_WSTG; OWASP_TOP10; OWASP_API; NIST_800_53; NIST_800_63; CWE_TOP25</x:v>
      </x:c>
      <x:c r="L88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88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88" s="16" t="str">
        <x:v>not_assessed</x:v>
      </x:c>
      <x:c r="O88" s="16" t="str"/>
      <x:c r="P88" s="18" t="str"/>
      <x:c r="Q88" s="16" t="str"/>
      <x:c r="R88" s="16" t="str"/>
      <x:c r="S88" s="16" t="str"/>
      <x:c r="T88" s="18" t="str"/>
      <x:c r="U88" s="16" t="str"/>
      <x:c r="V88" s="16" t="n">
        <x:v>0</x:v>
      </x:c>
    </x:row>
    <x:row r="89">
      <x:c r="A89" s="16" t="str">
        <x:v>FWPRO-AUTHZ-002</x:v>
      </x:c>
      <x:c r="B89" s="16" t="str">
        <x:v>AUTHZ</x:v>
      </x:c>
      <x:c r="C89" s="16" t="str">
        <x:v>Authorization, tenancy and object-level access</x:v>
      </x:c>
      <x:c r="D89" s="16" t="str">
        <x:v>Test horizontal access between two users with distinct, controlled test data.</x:v>
      </x:c>
      <x:c r="E89" s="16" t="str">
        <x:v>An accountable owner/reviewer confirms the control using current artifacts or reproducible test steps; exceptions have rationale, approver, compensating control and expiry. Control objective: Test horizontal access between two users with distinct, controlled test data.</x:v>
      </x:c>
      <x:c r="F89" s="16" t="str">
        <x:v>Reviewer steps, expected/observed result, sanitized evidence, impact, reviewer and approval/ticket.</x:v>
      </x:c>
      <x:c r="G89" s="16" t="str">
        <x:v>manual_review</x:v>
      </x:c>
      <x:c r="H89" s="16" t="str">
        <x:v>P0</x:v>
      </x:c>
      <x:c r="I89" s="16" t="str">
        <x:v>core</x:v>
      </x:c>
      <x:c r="J89" s="16" t="str">
        <x:v>direct; supporting | direct; supporting</x:v>
      </x:c>
      <x:c r="K89" s="16" t="str">
        <x:v>OWASP_ASVS; OWASP_WSTG; OWASP_TOP10; OWASP_API; NIST_800_53; NIST_800_63; CWE_TOP25</x:v>
      </x:c>
      <x:c r="L89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89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89" s="16" t="str">
        <x:v>not_assessed</x:v>
      </x:c>
      <x:c r="O89" s="16" t="str"/>
      <x:c r="P89" s="18" t="str"/>
      <x:c r="Q89" s="16" t="str"/>
      <x:c r="R89" s="16" t="str"/>
      <x:c r="S89" s="16" t="str"/>
      <x:c r="T89" s="18" t="str"/>
      <x:c r="U89" s="16" t="str"/>
      <x:c r="V89" s="16" t="n">
        <x:v>0</x:v>
      </x:c>
    </x:row>
    <x:row r="90">
      <x:c r="A90" s="16" t="str">
        <x:v>FWPRO-AUTHZ-003</x:v>
      </x:c>
      <x:c r="B90" s="16" t="str">
        <x:v>AUTHZ</x:v>
      </x:c>
      <x:c r="C90" s="16" t="str">
        <x:v>Authorization, tenancy and object-level access</x:v>
      </x:c>
      <x:c r="D90" s="16" t="str">
        <x:v>Test vertical access across low-privilege, privileged and administrative roles.</x:v>
      </x:c>
      <x:c r="E90" s="16" t="str">
        <x:v>An accountable owner/reviewer confirms the control using current artifacts or reproducible test steps; exceptions have rationale, approver, compensating control and expiry. Control objective: Test vertical access across low-privilege, privileged and administrative roles.</x:v>
      </x:c>
      <x:c r="F90" s="16" t="str">
        <x:v>Reviewer steps, expected/observed result, sanitized evidence, impact, reviewer and approval/ticket.</x:v>
      </x:c>
      <x:c r="G90" s="16" t="str">
        <x:v>manual_review</x:v>
      </x:c>
      <x:c r="H90" s="16" t="str">
        <x:v>P0</x:v>
      </x:c>
      <x:c r="I90" s="16" t="str">
        <x:v>core</x:v>
      </x:c>
      <x:c r="J90" s="16" t="str">
        <x:v>direct; supporting | direct; supporting</x:v>
      </x:c>
      <x:c r="K90" s="16" t="str">
        <x:v>OWASP_ASVS; OWASP_WSTG; OWASP_TOP10; OWASP_API; NIST_800_53; NIST_800_63; CWE_TOP25</x:v>
      </x:c>
      <x:c r="L90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0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0" s="16" t="str">
        <x:v>not_assessed</x:v>
      </x:c>
      <x:c r="O90" s="16" t="str"/>
      <x:c r="P90" s="18" t="str"/>
      <x:c r="Q90" s="16" t="str"/>
      <x:c r="R90" s="16" t="str"/>
      <x:c r="S90" s="16" t="str"/>
      <x:c r="T90" s="18" t="str"/>
      <x:c r="U90" s="16" t="str"/>
      <x:c r="V90" s="16" t="n">
        <x:v>0</x:v>
      </x:c>
    </x:row>
    <x:row r="91">
      <x:c r="A91" s="16" t="str">
        <x:v>FWPRO-AUTHZ-004</x:v>
      </x:c>
      <x:c r="B91" s="16" t="str">
        <x:v>AUTHZ</x:v>
      </x:c>
      <x:c r="C91" s="16" t="str">
        <x:v>Authorization, tenancy and object-level access</x:v>
      </x:c>
      <x:c r="D91" s="16" t="str">
        <x:v>Test tenant isolation across list, detail, search, export, report and bulk operations.</x:v>
      </x:c>
      <x:c r="E91" s="16" t="str">
        <x:v>An accountable owner/reviewer confirms the control using current artifacts or reproducible test steps; exceptions have rationale, approver, compensating control and expiry. Control objective: Test tenant isolation across list, detail, search, export, report and bulk operations.</x:v>
      </x:c>
      <x:c r="F91" s="16" t="str">
        <x:v>Reviewer steps, expected/observed result, sanitized evidence, impact, reviewer and approval/ticket.</x:v>
      </x:c>
      <x:c r="G91" s="16" t="str">
        <x:v>manual_review</x:v>
      </x:c>
      <x:c r="H91" s="16" t="str">
        <x:v>P0</x:v>
      </x:c>
      <x:c r="I91" s="16" t="str">
        <x:v>core</x:v>
      </x:c>
      <x:c r="J91" s="16" t="str">
        <x:v>direct; supporting | direct; supporting</x:v>
      </x:c>
      <x:c r="K91" s="16" t="str">
        <x:v>OWASP_ASVS; OWASP_WSTG; OWASP_TOP10; OWASP_API; NIST_800_53; NIST_800_63; CWE_TOP25</x:v>
      </x:c>
      <x:c r="L91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1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1" s="16" t="str">
        <x:v>not_assessed</x:v>
      </x:c>
      <x:c r="O91" s="16" t="str"/>
      <x:c r="P91" s="18" t="str"/>
      <x:c r="Q91" s="16" t="str"/>
      <x:c r="R91" s="16" t="str"/>
      <x:c r="S91" s="16" t="str"/>
      <x:c r="T91" s="18" t="str"/>
      <x:c r="U91" s="16" t="str"/>
      <x:c r="V91" s="16" t="n">
        <x:v>0</x:v>
      </x:c>
    </x:row>
    <x:row r="92">
      <x:c r="A92" s="16" t="str">
        <x:v>FWPRO-AUTHZ-005</x:v>
      </x:c>
      <x:c r="B92" s="16" t="str">
        <x:v>AUTHZ</x:v>
      </x:c>
      <x:c r="C92" s="16" t="str">
        <x:v>Authorization, tenancy and object-level access</x:v>
      </x:c>
      <x:c r="D92" s="16" t="str">
        <x:v>Verify object ownership and tenant context are derived from trusted server-side identity, not request parameters alone.</x:v>
      </x:c>
      <x:c r="E92" s="16" t="str">
        <x:v>An accountable owner/reviewer confirms the control using current artifacts or reproducible test steps; exceptions have rationale, approver, compensating control and expiry. Control objective: Verify object ownership and tenant context are derived from trusted server-side identity, not request parameters alone.</x:v>
      </x:c>
      <x:c r="F92" s="16" t="str">
        <x:v>Reviewer steps, expected/observed result, sanitized evidence, impact, reviewer and approval/ticket.</x:v>
      </x:c>
      <x:c r="G92" s="16" t="str">
        <x:v>manual_review</x:v>
      </x:c>
      <x:c r="H92" s="16" t="str">
        <x:v>P0</x:v>
      </x:c>
      <x:c r="I92" s="16" t="str">
        <x:v>core</x:v>
      </x:c>
      <x:c r="J92" s="16" t="str">
        <x:v>direct; supporting | direct; supporting</x:v>
      </x:c>
      <x:c r="K92" s="16" t="str">
        <x:v>OWASP_ASVS; OWASP_WSTG; OWASP_TOP10; OWASP_API; NIST_800_53; NIST_800_63; CWE_TOP25</x:v>
      </x:c>
      <x:c r="L92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2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2" s="16" t="str">
        <x:v>not_assessed</x:v>
      </x:c>
      <x:c r="O92" s="16" t="str"/>
      <x:c r="P92" s="18" t="str"/>
      <x:c r="Q92" s="16" t="str"/>
      <x:c r="R92" s="16" t="str"/>
      <x:c r="S92" s="16" t="str"/>
      <x:c r="T92" s="18" t="str"/>
      <x:c r="U92" s="16" t="str"/>
      <x:c r="V92" s="16" t="n">
        <x:v>0</x:v>
      </x:c>
    </x:row>
    <x:row r="93">
      <x:c r="A93" s="16" t="str">
        <x:v>FWPRO-AUTHZ-006</x:v>
      </x:c>
      <x:c r="B93" s="16" t="str">
        <x:v>AUTHZ</x:v>
      </x:c>
      <x:c r="C93" s="16" t="str">
        <x:v>Authorization, tenancy and object-level access</x:v>
      </x:c>
      <x:c r="D93" s="16" t="str">
        <x:v>Apply field-level authorization to sensitive response properties and writable fields.</x:v>
      </x:c>
      <x:c r="E93" s="16" t="str">
        <x:v>An accountable owner/reviewer confirms the control using current artifacts or reproducible test steps; exceptions have rationale, approver, compensating control and expiry. Control objective: Apply field-level authorization to sensitive response properties and writable fields.</x:v>
      </x:c>
      <x:c r="F93" s="16" t="str">
        <x:v>Reviewer steps, expected/observed result, sanitized evidence, impact, reviewer and approval/ticket.</x:v>
      </x:c>
      <x:c r="G93" s="16" t="str">
        <x:v>manual_review</x:v>
      </x:c>
      <x:c r="H93" s="16" t="str">
        <x:v>P0</x:v>
      </x:c>
      <x:c r="I93" s="16" t="str">
        <x:v>core</x:v>
      </x:c>
      <x:c r="J93" s="16" t="str">
        <x:v>direct; supporting | direct; supporting</x:v>
      </x:c>
      <x:c r="K93" s="16" t="str">
        <x:v>OWASP_ASVS; OWASP_WSTG; OWASP_TOP10; OWASP_API; NIST_800_53; NIST_800_63; CWE_TOP25</x:v>
      </x:c>
      <x:c r="L93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3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3" s="16" t="str">
        <x:v>not_assessed</x:v>
      </x:c>
      <x:c r="O93" s="16" t="str"/>
      <x:c r="P93" s="18" t="str"/>
      <x:c r="Q93" s="16" t="str"/>
      <x:c r="R93" s="16" t="str"/>
      <x:c r="S93" s="16" t="str"/>
      <x:c r="T93" s="18" t="str"/>
      <x:c r="U93" s="16" t="str"/>
      <x:c r="V93" s="16" t="n">
        <x:v>0</x:v>
      </x:c>
    </x:row>
    <x:row r="94">
      <x:c r="A94" s="16" t="str">
        <x:v>FWPRO-AUTHZ-007</x:v>
      </x:c>
      <x:c r="B94" s="16" t="str">
        <x:v>AUTHZ</x:v>
      </x:c>
      <x:c r="C94" s="16" t="str">
        <x:v>Authorization, tenancy and object-level access</x:v>
      </x:c>
      <x:c r="D94" s="16" t="str">
        <x:v>Prevent mass assignment of role, owner, tenant, approval, price or internal status fields.</x:v>
      </x:c>
      <x:c r="E94" s="16" t="str">
        <x:v>An accountable owner/reviewer confirms the control using current artifacts or reproducible test steps; exceptions have rationale, approver, compensating control and expiry. Control objective: Prevent mass assignment of role, owner, tenant, approval, price or internal status fields.</x:v>
      </x:c>
      <x:c r="F94" s="16" t="str">
        <x:v>Reviewer steps, expected/observed result, sanitized evidence, impact, reviewer and approval/ticket.</x:v>
      </x:c>
      <x:c r="G94" s="16" t="str">
        <x:v>manual_review</x:v>
      </x:c>
      <x:c r="H94" s="16" t="str">
        <x:v>P0</x:v>
      </x:c>
      <x:c r="I94" s="16" t="str">
        <x:v>core</x:v>
      </x:c>
      <x:c r="J94" s="16" t="str">
        <x:v>direct; supporting | direct; supporting</x:v>
      </x:c>
      <x:c r="K94" s="16" t="str">
        <x:v>OWASP_ASVS; OWASP_WSTG; OWASP_TOP10; OWASP_API; NIST_800_53; NIST_800_63; CWE_TOP25</x:v>
      </x:c>
      <x:c r="L94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4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4" s="16" t="str">
        <x:v>not_assessed</x:v>
      </x:c>
      <x:c r="O94" s="16" t="str"/>
      <x:c r="P94" s="18" t="str"/>
      <x:c r="Q94" s="16" t="str"/>
      <x:c r="R94" s="16" t="str"/>
      <x:c r="S94" s="16" t="str"/>
      <x:c r="T94" s="18" t="str"/>
      <x:c r="U94" s="16" t="str"/>
      <x:c r="V94" s="16" t="n">
        <x:v>0</x:v>
      </x:c>
    </x:row>
    <x:row r="95">
      <x:c r="A95" s="16" t="str">
        <x:v>FWPRO-AUTHZ-008</x:v>
      </x:c>
      <x:c r="B95" s="16" t="str">
        <x:v>AUTHZ</x:v>
      </x:c>
      <x:c r="C95" s="16" t="str">
        <x:v>Authorization, tenancy and object-level access</x:v>
      </x:c>
      <x:c r="D95" s="16" t="str">
        <x:v>Ensure hidden endpoints and client-side route guards are not treated as authorization controls.</x:v>
      </x:c>
      <x:c r="E95" s="16" t="str">
        <x:v>An accountable owner/reviewer confirms the control using current artifacts or reproducible test steps; exceptions have rationale, approver, compensating control and expiry. Control objective: Ensure hidden endpoints and client-side route guards are not treated as authorization controls.</x:v>
      </x:c>
      <x:c r="F95" s="16" t="str">
        <x:v>Reviewer steps, expected/observed result, sanitized evidence, impact, reviewer and approval/ticket.</x:v>
      </x:c>
      <x:c r="G95" s="16" t="str">
        <x:v>manual_review</x:v>
      </x:c>
      <x:c r="H95" s="16" t="str">
        <x:v>P0</x:v>
      </x:c>
      <x:c r="I95" s="16" t="str">
        <x:v>core</x:v>
      </x:c>
      <x:c r="J95" s="16" t="str">
        <x:v>direct; supporting | direct; supporting</x:v>
      </x:c>
      <x:c r="K95" s="16" t="str">
        <x:v>OWASP_ASVS; OWASP_WSTG; OWASP_TOP10; OWASP_API; NIST_800_53; NIST_800_63; CWE_TOP25</x:v>
      </x:c>
      <x:c r="L95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5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5" s="16" t="str">
        <x:v>not_assessed</x:v>
      </x:c>
      <x:c r="O95" s="16" t="str"/>
      <x:c r="P95" s="18" t="str"/>
      <x:c r="Q95" s="16" t="str"/>
      <x:c r="R95" s="16" t="str"/>
      <x:c r="S95" s="16" t="str"/>
      <x:c r="T95" s="18" t="str"/>
      <x:c r="U95" s="16" t="str"/>
      <x:c r="V95" s="16" t="n">
        <x:v>0</x:v>
      </x:c>
    </x:row>
    <x:row r="96">
      <x:c r="A96" s="16" t="str">
        <x:v>FWPRO-AUTHZ-009</x:v>
      </x:c>
      <x:c r="B96" s="16" t="str">
        <x:v>AUTHZ</x:v>
      </x:c>
      <x:c r="C96" s="16" t="str">
        <x:v>Authorization, tenancy and object-level access</x:v>
      </x:c>
      <x:c r="D96" s="16" t="str">
        <x:v>Validate authorization before performing any state-changing side effect.</x:v>
      </x:c>
      <x:c r="E96" s="16" t="str">
        <x:v>An accountable owner/reviewer confirms the control using current artifacts or reproducible test steps; exceptions have rationale, approver, compensating control and expiry. Control objective: Validate authorization before performing any state-changing side effect.</x:v>
      </x:c>
      <x:c r="F96" s="16" t="str">
        <x:v>Reviewer steps, expected/observed result, sanitized evidence, impact, reviewer and approval/ticket.</x:v>
      </x:c>
      <x:c r="G96" s="16" t="str">
        <x:v>manual_review</x:v>
      </x:c>
      <x:c r="H96" s="16" t="str">
        <x:v>P0</x:v>
      </x:c>
      <x:c r="I96" s="16" t="str">
        <x:v>core</x:v>
      </x:c>
      <x:c r="J96" s="16" t="str">
        <x:v>direct; supporting | direct; supporting</x:v>
      </x:c>
      <x:c r="K96" s="16" t="str">
        <x:v>OWASP_ASVS; OWASP_WSTG; OWASP_TOP10; OWASP_API; NIST_800_53; NIST_800_63; CWE_TOP25</x:v>
      </x:c>
      <x:c r="L96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6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6" s="16" t="str">
        <x:v>not_assessed</x:v>
      </x:c>
      <x:c r="O96" s="16" t="str"/>
      <x:c r="P96" s="18" t="str"/>
      <x:c r="Q96" s="16" t="str"/>
      <x:c r="R96" s="16" t="str"/>
      <x:c r="S96" s="16" t="str"/>
      <x:c r="T96" s="18" t="str"/>
      <x:c r="U96" s="16" t="str"/>
      <x:c r="V96" s="16" t="n">
        <x:v>0</x:v>
      </x:c>
    </x:row>
    <x:row r="97">
      <x:c r="A97" s="16" t="str">
        <x:v>FWPRO-AUTHZ-010</x:v>
      </x:c>
      <x:c r="B97" s="16" t="str">
        <x:v>AUTHZ</x:v>
      </x:c>
      <x:c r="C97" s="16" t="str">
        <x:v>Authorization, tenancy and object-level access</x:v>
      </x:c>
      <x:c r="D97" s="16" t="str">
        <x:v>Check authorization for asynchronous jobs, exports, webhooks, file downloads and generated reports.</x:v>
      </x:c>
      <x:c r="E97" s="16" t="str">
        <x:v>An accountable owner/reviewer confirms the control using current artifacts or reproducible test steps; exceptions have rationale, approver, compensating control and expiry. Control objective: Check authorization for asynchronous jobs, exports, webhooks, file downloads and generated reports.</x:v>
      </x:c>
      <x:c r="F97" s="16" t="str">
        <x:v>Reviewer steps, expected/observed result, sanitized evidence, impact, reviewer and approval/ticket.</x:v>
      </x:c>
      <x:c r="G97" s="16" t="str">
        <x:v>manual_review</x:v>
      </x:c>
      <x:c r="H97" s="16" t="str">
        <x:v>P0</x:v>
      </x:c>
      <x:c r="I97" s="16" t="str">
        <x:v>core</x:v>
      </x:c>
      <x:c r="J97" s="16" t="str">
        <x:v>direct; supporting | direct; supporting</x:v>
      </x:c>
      <x:c r="K97" s="16" t="str">
        <x:v>OWASP_ASVS; OWASP_WSTG; OWASP_TOP10; OWASP_API; NIST_800_53; NIST_800_63; CWE_TOP25</x:v>
      </x:c>
      <x:c r="L97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7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7" s="16" t="str">
        <x:v>not_assessed</x:v>
      </x:c>
      <x:c r="O97" s="16" t="str"/>
      <x:c r="P97" s="18" t="str"/>
      <x:c r="Q97" s="16" t="str"/>
      <x:c r="R97" s="16" t="str"/>
      <x:c r="S97" s="16" t="str"/>
      <x:c r="T97" s="18" t="str"/>
      <x:c r="U97" s="16" t="str"/>
      <x:c r="V97" s="16" t="n">
        <x:v>0</x:v>
      </x:c>
    </x:row>
    <x:row r="98">
      <x:c r="A98" s="16" t="str">
        <x:v>FWPRO-AUTHZ-011</x:v>
      </x:c>
      <x:c r="B98" s="16" t="str">
        <x:v>AUTHZ</x:v>
      </x:c>
      <x:c r="C98" s="16" t="str">
        <x:v>Authorization, tenancy and object-level access</x:v>
      </x:c>
      <x:c r="D98" s="16" t="str">
        <x:v>Ensure authorization context cannot be confused across concurrent requests or shared caches.</x:v>
      </x:c>
      <x:c r="E98" s="16" t="str">
        <x:v>An accountable owner/reviewer confirms the control using current artifacts or reproducible test steps; exceptions have rationale, approver, compensating control and expiry. Control objective: Ensure authorization context cannot be confused across concurrent requests or shared caches.</x:v>
      </x:c>
      <x:c r="F98" s="16" t="str">
        <x:v>Reviewer steps, expected/observed result, sanitized evidence, impact, reviewer and approval/ticket.</x:v>
      </x:c>
      <x:c r="G98" s="16" t="str">
        <x:v>manual_review</x:v>
      </x:c>
      <x:c r="H98" s="16" t="str">
        <x:v>P0</x:v>
      </x:c>
      <x:c r="I98" s="16" t="str">
        <x:v>core</x:v>
      </x:c>
      <x:c r="J98" s="16" t="str">
        <x:v>direct; supporting | direct; supporting</x:v>
      </x:c>
      <x:c r="K98" s="16" t="str">
        <x:v>OWASP_ASVS; OWASP_WSTG; OWASP_TOP10; OWASP_API; NIST_800_53; NIST_800_63; CWE_TOP25</x:v>
      </x:c>
      <x:c r="L98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8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8" s="16" t="str">
        <x:v>not_assessed</x:v>
      </x:c>
      <x:c r="O98" s="16" t="str"/>
      <x:c r="P98" s="18" t="str"/>
      <x:c r="Q98" s="16" t="str"/>
      <x:c r="R98" s="16" t="str"/>
      <x:c r="S98" s="16" t="str"/>
      <x:c r="T98" s="18" t="str"/>
      <x:c r="U98" s="16" t="str"/>
      <x:c r="V98" s="16" t="n">
        <x:v>0</x:v>
      </x:c>
    </x:row>
    <x:row r="99">
      <x:c r="A99" s="16" t="str">
        <x:v>FWPRO-AUTHZ-012</x:v>
      </x:c>
      <x:c r="B99" s="16" t="str">
        <x:v>AUTHZ</x:v>
      </x:c>
      <x:c r="C99" s="16" t="str">
        <x:v>Authorization, tenancy and object-level access</x:v>
      </x:c>
      <x:c r="D99" s="16" t="str">
        <x:v>Define and test service-account permissions, API scopes and administrative boundaries.</x:v>
      </x:c>
      <x:c r="E99" s="16" t="str">
        <x:v>An accountable owner/reviewer confirms the control using current artifacts or reproducible test steps; exceptions have rationale, approver, compensating control and expiry. Control objective: Define and test service-account permissions, API scopes and administrative boundaries.</x:v>
      </x:c>
      <x:c r="F99" s="16" t="str">
        <x:v>Reviewer steps, expected/observed result, sanitized evidence, impact, reviewer and approval/ticket.</x:v>
      </x:c>
      <x:c r="G99" s="16" t="str">
        <x:v>manual_review</x:v>
      </x:c>
      <x:c r="H99" s="16" t="str">
        <x:v>P0</x:v>
      </x:c>
      <x:c r="I99" s="16" t="str">
        <x:v>core</x:v>
      </x:c>
      <x:c r="J99" s="16" t="str">
        <x:v>direct; supporting | direct; supporting</x:v>
      </x:c>
      <x:c r="K99" s="16" t="str">
        <x:v>OWASP_ASVS; OWASP_WSTG; OWASP_TOP10; OWASP_API; NIST_800_53; NIST_800_63; CWE_TOP25</x:v>
      </x:c>
      <x:c r="L99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99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99" s="16" t="str">
        <x:v>not_assessed</x:v>
      </x:c>
      <x:c r="O99" s="16" t="str"/>
      <x:c r="P99" s="18" t="str"/>
      <x:c r="Q99" s="16" t="str"/>
      <x:c r="R99" s="16" t="str"/>
      <x:c r="S99" s="16" t="str"/>
      <x:c r="T99" s="18" t="str"/>
      <x:c r="U99" s="16" t="str"/>
      <x:c r="V99" s="16" t="n">
        <x:v>0</x:v>
      </x:c>
    </x:row>
    <x:row r="100">
      <x:c r="A100" s="16" t="str">
        <x:v>FWPRO-AUTHZ-013</x:v>
      </x:c>
      <x:c r="B100" s="16" t="str">
        <x:v>AUTHZ</x:v>
      </x:c>
      <x:c r="C100" s="16" t="str">
        <x:v>Authorization, tenancy and object-level access</x:v>
      </x:c>
      <x:c r="D100" s="16" t="str">
        <x:v>Review group/role inheritance and deny/allow precedence for least privilege.</x:v>
      </x:c>
      <x:c r="E100" s="16" t="str">
        <x:v>An accountable owner/reviewer confirms the control using current artifacts or reproducible test steps; exceptions have rationale, approver, compensating control and expiry. Control objective: Review group/role inheritance and deny/allow precedence for least privilege.</x:v>
      </x:c>
      <x:c r="F100" s="16" t="str">
        <x:v>Reviewer steps, expected/observed result, sanitized evidence, impact, reviewer and approval/ticket.</x:v>
      </x:c>
      <x:c r="G100" s="16" t="str">
        <x:v>manual_review</x:v>
      </x:c>
      <x:c r="H100" s="16" t="str">
        <x:v>P0</x:v>
      </x:c>
      <x:c r="I100" s="16" t="str">
        <x:v>core</x:v>
      </x:c>
      <x:c r="J100" s="16" t="str">
        <x:v>direct; supporting | direct; supporting</x:v>
      </x:c>
      <x:c r="K100" s="16" t="str">
        <x:v>OWASP_ASVS; OWASP_WSTG; OWASP_TOP10; OWASP_API; NIST_800_53; NIST_800_63; CWE_TOP25</x:v>
      </x:c>
      <x:c r="L100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100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100" s="16" t="str">
        <x:v>not_assessed</x:v>
      </x:c>
      <x:c r="O100" s="16" t="str"/>
      <x:c r="P100" s="18" t="str"/>
      <x:c r="Q100" s="16" t="str"/>
      <x:c r="R100" s="16" t="str"/>
      <x:c r="S100" s="16" t="str"/>
      <x:c r="T100" s="18" t="str"/>
      <x:c r="U100" s="16" t="str"/>
      <x:c r="V100" s="16" t="n">
        <x:v>0</x:v>
      </x:c>
    </x:row>
    <x:row r="101">
      <x:c r="A101" s="16" t="str">
        <x:v>FWPRO-AUTHZ-014</x:v>
      </x:c>
      <x:c r="B101" s="16" t="str">
        <x:v>AUTHZ</x:v>
      </x:c>
      <x:c r="C101" s="16" t="str">
        <x:v>Authorization, tenancy and object-level access</x:v>
      </x:c>
      <x:c r="D101" s="16" t="str">
        <x:v>Test direct object identifiers only with authorized test accounts and non-sensitive fixtures.</x:v>
      </x:c>
      <x:c r="E101" s="16" t="str">
        <x:v>An accountable owner/reviewer confirms the control using current artifacts or reproducible test steps; exceptions have rationale, approver, compensating control and expiry. Control objective: Test direct object identifiers only with authorized test accounts and non-sensitive fixtures.</x:v>
      </x:c>
      <x:c r="F101" s="16" t="str">
        <x:v>Reviewer steps, expected/observed result, sanitized evidence, impact, reviewer and approval/ticket.</x:v>
      </x:c>
      <x:c r="G101" s="16" t="str">
        <x:v>manual_review</x:v>
      </x:c>
      <x:c r="H101" s="16" t="str">
        <x:v>P0</x:v>
      </x:c>
      <x:c r="I101" s="16" t="str">
        <x:v>core</x:v>
      </x:c>
      <x:c r="J101" s="16" t="str">
        <x:v>direct; supporting | direct; supporting</x:v>
      </x:c>
      <x:c r="K101" s="16" t="str">
        <x:v>OWASP_ASVS; OWASP_WSTG; OWASP_TOP10; OWASP_API; NIST_800_53; NIST_800_63; CWE_TOP25</x:v>
      </x:c>
      <x:c r="L101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101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101" s="16" t="str">
        <x:v>not_assessed</x:v>
      </x:c>
      <x:c r="O101" s="16" t="str"/>
      <x:c r="P101" s="18" t="str"/>
      <x:c r="Q101" s="16" t="str"/>
      <x:c r="R101" s="16" t="str"/>
      <x:c r="S101" s="16" t="str"/>
      <x:c r="T101" s="18" t="str"/>
      <x:c r="U101" s="16" t="str"/>
      <x:c r="V101" s="16" t="n">
        <x:v>0</x:v>
      </x:c>
    </x:row>
    <x:row r="102">
      <x:c r="A102" s="16" t="str">
        <x:v>FWPRO-AUTHZ-015</x:v>
      </x:c>
      <x:c r="B102" s="16" t="str">
        <x:v>AUTHZ</x:v>
      </x:c>
      <x:c r="C102" s="16" t="str">
        <x:v>Authorization, tenancy and object-level access</x:v>
      </x:c>
      <x:c r="D102" s="16" t="str">
        <x:v>Record expected-versus-actual outcomes and sanitized evidence for every authorization test.</x:v>
      </x:c>
      <x:c r="E102" s="16" t="str">
        <x:v>An accountable owner/reviewer confirms the control using current artifacts or reproducible test steps; exceptions have rationale, approver, compensating control and expiry. Control objective: Record expected-versus-actual outcomes and sanitized evidence for every authorization test.</x:v>
      </x:c>
      <x:c r="F102" s="16" t="str">
        <x:v>Reviewer steps, expected/observed result, sanitized evidence, impact, reviewer and approval/ticket.</x:v>
      </x:c>
      <x:c r="G102" s="16" t="str">
        <x:v>manual_review</x:v>
      </x:c>
      <x:c r="H102" s="16" t="str">
        <x:v>P0</x:v>
      </x:c>
      <x:c r="I102" s="16" t="str">
        <x:v>core</x:v>
      </x:c>
      <x:c r="J102" s="16" t="str">
        <x:v>direct; supporting | direct; supporting</x:v>
      </x:c>
      <x:c r="K102" s="16" t="str">
        <x:v>OWASP_ASVS; OWASP_WSTG; OWASP_TOP10; OWASP_API; NIST_800_53; NIST_800_63; CWE_TOP25</x:v>
      </x:c>
      <x:c r="L102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102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102" s="16" t="str">
        <x:v>not_assessed</x:v>
      </x:c>
      <x:c r="O102" s="16" t="str"/>
      <x:c r="P102" s="18" t="str"/>
      <x:c r="Q102" s="16" t="str"/>
      <x:c r="R102" s="16" t="str"/>
      <x:c r="S102" s="16" t="str"/>
      <x:c r="T102" s="18" t="str"/>
      <x:c r="U102" s="16" t="str"/>
      <x:c r="V102" s="16" t="n">
        <x:v>0</x:v>
      </x:c>
    </x:row>
    <x:row r="103">
      <x:c r="A103" s="16" t="str">
        <x:v>FWPRO-AUTHZ-016</x:v>
      </x:c>
      <x:c r="B103" s="16" t="str">
        <x:v>AUTHZ</x:v>
      </x:c>
      <x:c r="C103" s="16" t="str">
        <x:v>Authorization, tenancy and object-level access</x:v>
      </x:c>
      <x:c r="D103" s="16" t="str">
        <x:v>Treat automated role-difference results as review candidates until object ownership and business context are verified.</x:v>
      </x:c>
      <x:c r="E103" s="16" t="str">
        <x:v>An accountable owner/reviewer confirms the control using current artifacts or reproducible test steps; exceptions have rationale, approver, compensating control and expiry. Control objective: Treat automated role-difference results as review candidates until object ownership and business context are verified.</x:v>
      </x:c>
      <x:c r="F103" s="16" t="str">
        <x:v>Reviewer steps, expected/observed result, sanitized evidence, impact, reviewer and approval/ticket.</x:v>
      </x:c>
      <x:c r="G103" s="16" t="str">
        <x:v>manual_review</x:v>
      </x:c>
      <x:c r="H103" s="16" t="str">
        <x:v>P0</x:v>
      </x:c>
      <x:c r="I103" s="16" t="str">
        <x:v>core</x:v>
      </x:c>
      <x:c r="J103" s="16" t="str">
        <x:v>direct; supporting | direct; supporting</x:v>
      </x:c>
      <x:c r="K103" s="16" t="str">
        <x:v>OWASP_ASVS; OWASP_WSTG; OWASP_TOP10; OWASP_API; NIST_800_53; NIST_800_63; CWE_TOP25</x:v>
      </x:c>
      <x:c r="L103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103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103" s="16" t="str">
        <x:v>not_assessed</x:v>
      </x:c>
      <x:c r="O103" s="16" t="str"/>
      <x:c r="P103" s="18" t="str"/>
      <x:c r="Q103" s="16" t="str"/>
      <x:c r="R103" s="16" t="str"/>
      <x:c r="S103" s="16" t="str"/>
      <x:c r="T103" s="18" t="str"/>
      <x:c r="U103" s="16" t="str"/>
      <x:c r="V103" s="16" t="n">
        <x:v>0</x:v>
      </x:c>
    </x:row>
    <x:row r="104">
      <x:c r="A104" s="16" t="str">
        <x:v>FWPRO-AUTHZ-017</x:v>
      </x:c>
      <x:c r="B104" s="16" t="str">
        <x:v>AUTHZ</x:v>
      </x:c>
      <x:c r="C104" s="16" t="str">
        <x:v>Authorization, tenancy and object-level access</x:v>
      </x:c>
      <x:c r="D104" s="16" t="str">
        <x:v>Confirm default policy for unknown roles, missing claims and malformed authorization context is deny.</x:v>
      </x:c>
      <x:c r="E104" s="16" t="str">
        <x:v>An accountable owner/reviewer confirms the control using current artifacts or reproducible test steps; exceptions have rationale, approver, compensating control and expiry. Control objective: Confirm default policy for unknown roles, missing claims and malformed authorization context is deny.</x:v>
      </x:c>
      <x:c r="F104" s="16" t="str">
        <x:v>Reviewer steps, expected/observed result, sanitized evidence, impact, reviewer and approval/ticket.</x:v>
      </x:c>
      <x:c r="G104" s="16" t="str">
        <x:v>manual_review</x:v>
      </x:c>
      <x:c r="H104" s="16" t="str">
        <x:v>P0</x:v>
      </x:c>
      <x:c r="I104" s="16" t="str">
        <x:v>core</x:v>
      </x:c>
      <x:c r="J104" s="16" t="str">
        <x:v>direct; supporting | direct; supporting</x:v>
      </x:c>
      <x:c r="K104" s="16" t="str">
        <x:v>OWASP_ASVS; OWASP_WSTG; OWASP_TOP10; OWASP_API; NIST_800_53; NIST_800_63; CWE_TOP25</x:v>
      </x:c>
      <x:c r="L104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104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104" s="16" t="str">
        <x:v>not_assessed</x:v>
      </x:c>
      <x:c r="O104" s="16" t="str"/>
      <x:c r="P104" s="18" t="str"/>
      <x:c r="Q104" s="16" t="str"/>
      <x:c r="R104" s="16" t="str"/>
      <x:c r="S104" s="16" t="str"/>
      <x:c r="T104" s="18" t="str"/>
      <x:c r="U104" s="16" t="str"/>
      <x:c r="V104" s="16" t="n">
        <x:v>0</x:v>
      </x:c>
    </x:row>
    <x:row r="105">
      <x:c r="A105" s="16" t="str">
        <x:v>FWPRO-AUTHZ-018</x:v>
      </x:c>
      <x:c r="B105" s="16" t="str">
        <x:v>AUTHZ</x:v>
      </x:c>
      <x:c r="C105" s="16" t="str">
        <x:v>Authorization, tenancy and object-level access</x:v>
      </x:c>
      <x:c r="D105" s="16" t="str">
        <x:v>Re-test authorization after role, tenant, API schema or route changes.</x:v>
      </x:c>
      <x:c r="E105" s="16" t="str">
        <x:v>An accountable owner/reviewer confirms the control using current artifacts or reproducible test steps; exceptions have rationale, approver, compensating control and expiry. Control objective: Re-test authorization after role, tenant, API schema or route changes.</x:v>
      </x:c>
      <x:c r="F105" s="16" t="str">
        <x:v>Reviewer steps, expected/observed result, sanitized evidence, impact, reviewer and approval/ticket.</x:v>
      </x:c>
      <x:c r="G105" s="16" t="str">
        <x:v>manual_review</x:v>
      </x:c>
      <x:c r="H105" s="16" t="str">
        <x:v>P0</x:v>
      </x:c>
      <x:c r="I105" s="16" t="str">
        <x:v>core</x:v>
      </x:c>
      <x:c r="J105" s="16" t="str">
        <x:v>direct; supporting | direct; supporting</x:v>
      </x:c>
      <x:c r="K105" s="16" t="str">
        <x:v>OWASP_ASVS; OWASP_WSTG; OWASP_TOP10; OWASP_API; NIST_800_53; NIST_800_63; CWE_TOP25</x:v>
      </x:c>
      <x:c r="L105" s="16" t="str">
        <x:v>OWASP Application Security Verification Standard (5.0.0 (stable)); OWASP Web Security Testing Guide (v4.2 (current stable)); OWASP Top 10 (2025 (released)); OWASP API Security Top 10 (2023); NIST SP 800-53 Security and Privacy Controls (Rev. 5 + current errata); NIST SP 800-63 Digital Identity Guidelines (Revision 4 (2025)); MITRE CWE Top 25 (2025)</x:v>
      </x:c>
      <x:c r="M105" s="16" t="str">
        <x:v>https://owasp.org/www-project-application-security-verification-standard/; https://owasp.org/www-project-web-security-testing-guide/v42/; https://owasp.org/projects/top-ten; https://owasp.org/www-project-api-security/; https://csrc.nist.gov/pubs/sp/800/53/r5/upd1/final; https://csrc.nist.gov/pubs/sp/800/63/4/final; https://cwe.mitre.org/top25/archive/2025/2025_cwe_top25</x:v>
      </x:c>
      <x:c r="N105" s="16" t="str">
        <x:v>not_assessed</x:v>
      </x:c>
      <x:c r="O105" s="16" t="str"/>
      <x:c r="P105" s="18" t="str"/>
      <x:c r="Q105" s="16" t="str"/>
      <x:c r="R105" s="16" t="str"/>
      <x:c r="S105" s="16" t="str"/>
      <x:c r="T105" s="18" t="str"/>
      <x:c r="U105" s="16" t="str"/>
      <x:c r="V105" s="16" t="n">
        <x:v>0</x:v>
      </x:c>
    </x:row>
    <x:row r="106">
      <x:c r="A106" s="16" t="str">
        <x:v>FWPRO-SESSION-001</x:v>
      </x:c>
      <x:c r="B106" s="16" t="str">
        <x:v>SESSION</x:v>
      </x:c>
      <x:c r="C106" s="16" t="str">
        <x:v>Session, cookies and browser state</x:v>
      </x:c>
      <x:c r="D106" s="16" t="str">
        <x:v>Set Secure on session cookies in HTTPS deployments.</x:v>
      </x:c>
      <x:c r="E106" s="16" t="str">
        <x:v>A repeatable, bounded check produces current sanitized evidence for this control, or explicitly marks it blocked/not-tested. Finding absence alone is not proof of compliance. Control objective: Set Secure on session cookies in HTTPS deployments.</x:v>
      </x:c>
      <x:c r="F106" s="16" t="str">
        <x:v>Timestamped HTTP/browser observation, sanitized response/request metadata, scanner version and rule ID.</x:v>
      </x:c>
      <x:c r="G106" s="16" t="str">
        <x:v>automated_passive</x:v>
      </x:c>
      <x:c r="H106" s="16" t="str">
        <x:v>P1</x:v>
      </x:c>
      <x:c r="I106" s="16" t="str">
        <x:v>core</x:v>
      </x:c>
      <x:c r="J106" s="16" t="str">
        <x:v>direct; supporting | direct; supporting</x:v>
      </x:c>
      <x:c r="K106" s="16" t="str">
        <x:v>OWASP_ASVS; OWASP_WSTG; OWASP_CHEATSHEETS; COOKIE_RFC6265; OWASP_TOP10; NIST_800_63; NIST_800_53</x:v>
      </x:c>
      <x:c r="L106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06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06" s="16" t="str">
        <x:v>not_assessed</x:v>
      </x:c>
      <x:c r="O106" s="16" t="str"/>
      <x:c r="P106" s="18" t="str"/>
      <x:c r="Q106" s="16" t="str"/>
      <x:c r="R106" s="16" t="str"/>
      <x:c r="S106" s="16" t="str"/>
      <x:c r="T106" s="18" t="str"/>
      <x:c r="U106" s="16" t="str"/>
      <x:c r="V106" s="16" t="n">
        <x:v>0</x:v>
      </x:c>
    </x:row>
    <x:row r="107">
      <x:c r="A107" s="16" t="str">
        <x:v>FWPRO-SESSION-002</x:v>
      </x:c>
      <x:c r="B107" s="16" t="str">
        <x:v>SESSION</x:v>
      </x:c>
      <x:c r="C107" s="16" t="str">
        <x:v>Session, cookies and browser state</x:v>
      </x:c>
      <x:c r="D107" s="16" t="str">
        <x:v>Set HttpOnly on cookies that do not require direct JavaScript access.</x:v>
      </x:c>
      <x:c r="E107" s="16" t="str">
        <x:v>A repeatable, bounded check produces current sanitized evidence for this control, or explicitly marks it blocked/not-tested. Finding absence alone is not proof of compliance. Control objective: Set HttpOnly on cookies that do not require direct JavaScript access.</x:v>
      </x:c>
      <x:c r="F107" s="16" t="str">
        <x:v>Timestamped HTTP/browser observation, sanitized response/request metadata, scanner version and rule ID.</x:v>
      </x:c>
      <x:c r="G107" s="16" t="str">
        <x:v>automated_passive</x:v>
      </x:c>
      <x:c r="H107" s="16" t="str">
        <x:v>P1</x:v>
      </x:c>
      <x:c r="I107" s="16" t="str">
        <x:v>core</x:v>
      </x:c>
      <x:c r="J107" s="16" t="str">
        <x:v>direct; supporting | direct; supporting</x:v>
      </x:c>
      <x:c r="K107" s="16" t="str">
        <x:v>OWASP_ASVS; OWASP_WSTG; OWASP_CHEATSHEETS; COOKIE_RFC6265; OWASP_TOP10; NIST_800_63; NIST_800_53</x:v>
      </x:c>
      <x:c r="L107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07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07" s="16" t="str">
        <x:v>not_assessed</x:v>
      </x:c>
      <x:c r="O107" s="16" t="str"/>
      <x:c r="P107" s="18" t="str"/>
      <x:c r="Q107" s="16" t="str"/>
      <x:c r="R107" s="16" t="str"/>
      <x:c r="S107" s="16" t="str"/>
      <x:c r="T107" s="18" t="str"/>
      <x:c r="U107" s="16" t="str"/>
      <x:c r="V107" s="16" t="n">
        <x:v>0</x:v>
      </x:c>
    </x:row>
    <x:row r="108">
      <x:c r="A108" s="16" t="str">
        <x:v>FWPRO-SESSION-003</x:v>
      </x:c>
      <x:c r="B108" s="16" t="str">
        <x:v>SESSION</x:v>
      </x:c>
      <x:c r="C108" s="16" t="str">
        <x:v>Session, cookies and browser state</x:v>
      </x:c>
      <x:c r="D108" s="16" t="str">
        <x:v>Choose SameSite deliberately based on application flows and CSRF threat model.</x:v>
      </x:c>
      <x:c r="E108" s="16" t="str">
        <x:v>A repeatable, bounded check produces current sanitized evidence for this control, or explicitly marks it blocked/not-tested. Finding absence alone is not proof of compliance. Control objective: Choose SameSite deliberately based on application flows and CSRF threat model.</x:v>
      </x:c>
      <x:c r="F108" s="16" t="str">
        <x:v>Timestamped HTTP/browser observation, sanitized response/request metadata, scanner version and rule ID.</x:v>
      </x:c>
      <x:c r="G108" s="16" t="str">
        <x:v>automated_passive</x:v>
      </x:c>
      <x:c r="H108" s="16" t="str">
        <x:v>P1</x:v>
      </x:c>
      <x:c r="I108" s="16" t="str">
        <x:v>core</x:v>
      </x:c>
      <x:c r="J108" s="16" t="str">
        <x:v>direct; supporting | direct; supporting</x:v>
      </x:c>
      <x:c r="K108" s="16" t="str">
        <x:v>OWASP_ASVS; OWASP_WSTG; OWASP_CHEATSHEETS; COOKIE_RFC6265; OWASP_TOP10; NIST_800_63; NIST_800_53</x:v>
      </x:c>
      <x:c r="L108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08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08" s="16" t="str">
        <x:v>not_assessed</x:v>
      </x:c>
      <x:c r="O108" s="16" t="str"/>
      <x:c r="P108" s="18" t="str"/>
      <x:c r="Q108" s="16" t="str"/>
      <x:c r="R108" s="16" t="str"/>
      <x:c r="S108" s="16" t="str"/>
      <x:c r="T108" s="18" t="str"/>
      <x:c r="U108" s="16" t="str"/>
      <x:c r="V108" s="16" t="n">
        <x:v>0</x:v>
      </x:c>
    </x:row>
    <x:row r="109">
      <x:c r="A109" s="16" t="str">
        <x:v>FWPRO-SESSION-004</x:v>
      </x:c>
      <x:c r="B109" s="16" t="str">
        <x:v>SESSION</x:v>
      </x:c>
      <x:c r="C109" s="16" t="str">
        <x:v>Session, cookies and browser state</x:v>
      </x:c>
      <x:c r="D109" s="16" t="str">
        <x:v>Use cookie prefixes and path/domain constraints where they add enforceable protection.</x:v>
      </x:c>
      <x:c r="E109" s="16" t="str">
        <x:v>A repeatable, bounded check produces current sanitized evidence for this control, or explicitly marks it blocked/not-tested. Finding absence alone is not proof of compliance. Control objective: Use cookie prefixes and path/domain constraints where they add enforceable protection.</x:v>
      </x:c>
      <x:c r="F109" s="16" t="str">
        <x:v>Timestamped HTTP/browser observation, sanitized response/request metadata, scanner version and rule ID.</x:v>
      </x:c>
      <x:c r="G109" s="16" t="str">
        <x:v>automated_passive</x:v>
      </x:c>
      <x:c r="H109" s="16" t="str">
        <x:v>P1</x:v>
      </x:c>
      <x:c r="I109" s="16" t="str">
        <x:v>core</x:v>
      </x:c>
      <x:c r="J109" s="16" t="str">
        <x:v>direct; supporting | direct; supporting</x:v>
      </x:c>
      <x:c r="K109" s="16" t="str">
        <x:v>OWASP_ASVS; OWASP_WSTG; OWASP_CHEATSHEETS; COOKIE_RFC6265; OWASP_TOP10; NIST_800_63; NIST_800_53</x:v>
      </x:c>
      <x:c r="L109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09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09" s="16" t="str">
        <x:v>not_assessed</x:v>
      </x:c>
      <x:c r="O109" s="16" t="str"/>
      <x:c r="P109" s="18" t="str"/>
      <x:c r="Q109" s="16" t="str"/>
      <x:c r="R109" s="16" t="str"/>
      <x:c r="S109" s="16" t="str"/>
      <x:c r="T109" s="18" t="str"/>
      <x:c r="U109" s="16" t="str"/>
      <x:c r="V109" s="16" t="n">
        <x:v>0</x:v>
      </x:c>
    </x:row>
    <x:row r="110">
      <x:c r="A110" s="16" t="str">
        <x:v>FWPRO-SESSION-005</x:v>
      </x:c>
      <x:c r="B110" s="16" t="str">
        <x:v>SESSION</x:v>
      </x:c>
      <x:c r="C110" s="16" t="str">
        <x:v>Session, cookies and browser state</x:v>
      </x:c>
      <x:c r="D110" s="16" t="str">
        <x:v>Avoid unnecessarily broad cookie Domain and Path scope.</x:v>
      </x:c>
      <x:c r="E110" s="16" t="str">
        <x:v>A repeatable, bounded check produces current sanitized evidence for this control, or explicitly marks it blocked/not-tested. Finding absence alone is not proof of compliance. Control objective: Avoid unnecessarily broad cookie Domain and Path scope.</x:v>
      </x:c>
      <x:c r="F110" s="16" t="str">
        <x:v>Timestamped HTTP/browser observation, sanitized response/request metadata, scanner version and rule ID.</x:v>
      </x:c>
      <x:c r="G110" s="16" t="str">
        <x:v>automated_passive</x:v>
      </x:c>
      <x:c r="H110" s="16" t="str">
        <x:v>P1</x:v>
      </x:c>
      <x:c r="I110" s="16" t="str">
        <x:v>core</x:v>
      </x:c>
      <x:c r="J110" s="16" t="str">
        <x:v>direct; supporting | direct; supporting</x:v>
      </x:c>
      <x:c r="K110" s="16" t="str">
        <x:v>OWASP_ASVS; OWASP_WSTG; OWASP_CHEATSHEETS; COOKIE_RFC6265; OWASP_TOP10; NIST_800_63; NIST_800_53</x:v>
      </x:c>
      <x:c r="L110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0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0" s="16" t="str">
        <x:v>not_assessed</x:v>
      </x:c>
      <x:c r="O110" s="16" t="str"/>
      <x:c r="P110" s="18" t="str"/>
      <x:c r="Q110" s="16" t="str"/>
      <x:c r="R110" s="16" t="str"/>
      <x:c r="S110" s="16" t="str"/>
      <x:c r="T110" s="18" t="str"/>
      <x:c r="U110" s="16" t="str"/>
      <x:c r="V110" s="16" t="n">
        <x:v>0</x:v>
      </x:c>
    </x:row>
    <x:row r="111">
      <x:c r="A111" s="16" t="str">
        <x:v>FWPRO-SESSION-006</x:v>
      </x:c>
      <x:c r="B111" s="16" t="str">
        <x:v>SESSION</x:v>
      </x:c>
      <x:c r="C111" s="16" t="str">
        <x:v>Session, cookies and browser state</x:v>
      </x:c>
      <x:c r="D111" s="16" t="str">
        <x:v>Rotate identifiers after authentication and privilege changes.</x:v>
      </x:c>
      <x:c r="E111" s="16" t="str">
        <x:v>A repeatable, bounded check produces current sanitized evidence for this control, or explicitly marks it blocked/not-tested. Finding absence alone is not proof of compliance. Control objective: Rotate identifiers after authentication and privilege changes.</x:v>
      </x:c>
      <x:c r="F111" s="16" t="str">
        <x:v>Timestamped HTTP/browser observation, sanitized response/request metadata, scanner version and rule ID.</x:v>
      </x:c>
      <x:c r="G111" s="16" t="str">
        <x:v>automated_passive</x:v>
      </x:c>
      <x:c r="H111" s="16" t="str">
        <x:v>P1</x:v>
      </x:c>
      <x:c r="I111" s="16" t="str">
        <x:v>core</x:v>
      </x:c>
      <x:c r="J111" s="16" t="str">
        <x:v>direct; supporting | direct; supporting</x:v>
      </x:c>
      <x:c r="K111" s="16" t="str">
        <x:v>OWASP_ASVS; OWASP_WSTG; OWASP_CHEATSHEETS; COOKIE_RFC6265; OWASP_TOP10; NIST_800_63; NIST_800_53</x:v>
      </x:c>
      <x:c r="L111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1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1" s="16" t="str">
        <x:v>not_assessed</x:v>
      </x:c>
      <x:c r="O111" s="16" t="str"/>
      <x:c r="P111" s="18" t="str"/>
      <x:c r="Q111" s="16" t="str"/>
      <x:c r="R111" s="16" t="str"/>
      <x:c r="S111" s="16" t="str"/>
      <x:c r="T111" s="18" t="str"/>
      <x:c r="U111" s="16" t="str"/>
      <x:c r="V111" s="16" t="n">
        <x:v>0</x:v>
      </x:c>
    </x:row>
    <x:row r="112">
      <x:c r="A112" s="16" t="str">
        <x:v>FWPRO-SESSION-007</x:v>
      </x:c>
      <x:c r="B112" s="16" t="str">
        <x:v>SESSION</x:v>
      </x:c>
      <x:c r="C112" s="16" t="str">
        <x:v>Session, cookies and browser state</x:v>
      </x:c>
      <x:c r="D112" s="16" t="str">
        <x:v>Enforce idle and absolute session expiration appropriate to data sensitivity.</x:v>
      </x:c>
      <x:c r="E112" s="16" t="str">
        <x:v>A repeatable, bounded check produces current sanitized evidence for this control, or explicitly marks it blocked/not-tested. Finding absence alone is not proof of compliance. Control objective: Enforce idle and absolute session expiration appropriate to data sensitivity.</x:v>
      </x:c>
      <x:c r="F112" s="16" t="str">
        <x:v>Timestamped HTTP/browser observation, sanitized response/request metadata, scanner version and rule ID.</x:v>
      </x:c>
      <x:c r="G112" s="16" t="str">
        <x:v>automated_passive</x:v>
      </x:c>
      <x:c r="H112" s="16" t="str">
        <x:v>P1</x:v>
      </x:c>
      <x:c r="I112" s="16" t="str">
        <x:v>core</x:v>
      </x:c>
      <x:c r="J112" s="16" t="str">
        <x:v>direct; supporting | direct; supporting</x:v>
      </x:c>
      <x:c r="K112" s="16" t="str">
        <x:v>OWASP_ASVS; OWASP_WSTG; OWASP_CHEATSHEETS; COOKIE_RFC6265; OWASP_TOP10; NIST_800_63; NIST_800_53</x:v>
      </x:c>
      <x:c r="L112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2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2" s="16" t="str">
        <x:v>not_assessed</x:v>
      </x:c>
      <x:c r="O112" s="16" t="str"/>
      <x:c r="P112" s="18" t="str"/>
      <x:c r="Q112" s="16" t="str"/>
      <x:c r="R112" s="16" t="str"/>
      <x:c r="S112" s="16" t="str"/>
      <x:c r="T112" s="18" t="str"/>
      <x:c r="U112" s="16" t="str"/>
      <x:c r="V112" s="16" t="n">
        <x:v>0</x:v>
      </x:c>
    </x:row>
    <x:row r="113">
      <x:c r="A113" s="16" t="str">
        <x:v>FWPRO-SESSION-008</x:v>
      </x:c>
      <x:c r="B113" s="16" t="str">
        <x:v>SESSION</x:v>
      </x:c>
      <x:c r="C113" s="16" t="str">
        <x:v>Session, cookies and browser state</x:v>
      </x:c>
      <x:c r="D113" s="16" t="str">
        <x:v>Invalidate server-side sessions on logout, revocation and account compromise events.</x:v>
      </x:c>
      <x:c r="E113" s="16" t="str">
        <x:v>A repeatable, bounded check produces current sanitized evidence for this control, or explicitly marks it blocked/not-tested. Finding absence alone is not proof of compliance. Control objective: Invalidate server-side sessions on logout, revocation and account compromise events.</x:v>
      </x:c>
      <x:c r="F113" s="16" t="str">
        <x:v>Timestamped HTTP/browser observation, sanitized response/request metadata, scanner version and rule ID.</x:v>
      </x:c>
      <x:c r="G113" s="16" t="str">
        <x:v>automated_passive</x:v>
      </x:c>
      <x:c r="H113" s="16" t="str">
        <x:v>P1</x:v>
      </x:c>
      <x:c r="I113" s="16" t="str">
        <x:v>core</x:v>
      </x:c>
      <x:c r="J113" s="16" t="str">
        <x:v>direct; supporting | direct; supporting</x:v>
      </x:c>
      <x:c r="K113" s="16" t="str">
        <x:v>OWASP_ASVS; OWASP_WSTG; OWASP_CHEATSHEETS; COOKIE_RFC6265; OWASP_TOP10; NIST_800_63; NIST_800_53</x:v>
      </x:c>
      <x:c r="L113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3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3" s="16" t="str">
        <x:v>not_assessed</x:v>
      </x:c>
      <x:c r="O113" s="16" t="str"/>
      <x:c r="P113" s="18" t="str"/>
      <x:c r="Q113" s="16" t="str"/>
      <x:c r="R113" s="16" t="str"/>
      <x:c r="S113" s="16" t="str"/>
      <x:c r="T113" s="18" t="str"/>
      <x:c r="U113" s="16" t="str"/>
      <x:c r="V113" s="16" t="n">
        <x:v>0</x:v>
      </x:c>
    </x:row>
    <x:row r="114">
      <x:c r="A114" s="16" t="str">
        <x:v>FWPRO-SESSION-009</x:v>
      </x:c>
      <x:c r="B114" s="16" t="str">
        <x:v>SESSION</x:v>
      </x:c>
      <x:c r="C114" s="16" t="str">
        <x:v>Session, cookies and browser state</x:v>
      </x:c>
      <x:c r="D114" s="16" t="str">
        <x:v>Protect state-changing requests with CSRF defenses appropriate to the authentication model.</x:v>
      </x:c>
      <x:c r="E114" s="16" t="str">
        <x:v>A repeatable, bounded check produces current sanitized evidence for this control, or explicitly marks it blocked/not-tested. Finding absence alone is not proof of compliance. Control objective: Protect state-changing requests with CSRF defenses appropriate to the authentication model.</x:v>
      </x:c>
      <x:c r="F114" s="16" t="str">
        <x:v>Timestamped HTTP/browser observation, sanitized response/request metadata, scanner version and rule ID.</x:v>
      </x:c>
      <x:c r="G114" s="16" t="str">
        <x:v>automated_passive</x:v>
      </x:c>
      <x:c r="H114" s="16" t="str">
        <x:v>P1</x:v>
      </x:c>
      <x:c r="I114" s="16" t="str">
        <x:v>core</x:v>
      </x:c>
      <x:c r="J114" s="16" t="str">
        <x:v>direct; supporting | direct; supporting</x:v>
      </x:c>
      <x:c r="K114" s="16" t="str">
        <x:v>OWASP_ASVS; OWASP_WSTG; OWASP_CHEATSHEETS; COOKIE_RFC6265; OWASP_TOP10; NIST_800_63; NIST_800_53</x:v>
      </x:c>
      <x:c r="L114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4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4" s="16" t="str">
        <x:v>not_assessed</x:v>
      </x:c>
      <x:c r="O114" s="16" t="str"/>
      <x:c r="P114" s="18" t="str"/>
      <x:c r="Q114" s="16" t="str"/>
      <x:c r="R114" s="16" t="str"/>
      <x:c r="S114" s="16" t="str"/>
      <x:c r="T114" s="18" t="str"/>
      <x:c r="U114" s="16" t="str"/>
      <x:c r="V114" s="16" t="n">
        <x:v>0</x:v>
      </x:c>
    </x:row>
    <x:row r="115">
      <x:c r="A115" s="16" t="str">
        <x:v>FWPRO-SESSION-010</x:v>
      </x:c>
      <x:c r="B115" s="16" t="str">
        <x:v>SESSION</x:v>
      </x:c>
      <x:c r="C115" s="16" t="str">
        <x:v>Session, cookies and browser state</x:v>
      </x:c>
      <x:c r="D115" s="16" t="str">
        <x:v>Check Origin/Referer or equivalent request provenance where appropriate, without treating it as the only CSRF control.</x:v>
      </x:c>
      <x:c r="E115" s="16" t="str">
        <x:v>A repeatable, bounded check produces current sanitized evidence for this control, or explicitly marks it blocked/not-tested. Finding absence alone is not proof of compliance. Control objective: Check Origin/Referer or equivalent request provenance where appropriate, without treating it as the only CSRF control.</x:v>
      </x:c>
      <x:c r="F115" s="16" t="str">
        <x:v>Timestamped HTTP/browser observation, sanitized response/request metadata, scanner version and rule ID.</x:v>
      </x:c>
      <x:c r="G115" s="16" t="str">
        <x:v>automated_passive</x:v>
      </x:c>
      <x:c r="H115" s="16" t="str">
        <x:v>P1</x:v>
      </x:c>
      <x:c r="I115" s="16" t="str">
        <x:v>core</x:v>
      </x:c>
      <x:c r="J115" s="16" t="str">
        <x:v>direct; supporting | direct; supporting</x:v>
      </x:c>
      <x:c r="K115" s="16" t="str">
        <x:v>OWASP_ASVS; OWASP_WSTG; OWASP_CHEATSHEETS; COOKIE_RFC6265; OWASP_TOP10; NIST_800_63; NIST_800_53</x:v>
      </x:c>
      <x:c r="L115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5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5" s="16" t="str">
        <x:v>not_assessed</x:v>
      </x:c>
      <x:c r="O115" s="16" t="str"/>
      <x:c r="P115" s="18" t="str"/>
      <x:c r="Q115" s="16" t="str"/>
      <x:c r="R115" s="16" t="str"/>
      <x:c r="S115" s="16" t="str"/>
      <x:c r="T115" s="18" t="str"/>
      <x:c r="U115" s="16" t="str"/>
      <x:c r="V115" s="16" t="n">
        <x:v>0</x:v>
      </x:c>
    </x:row>
    <x:row r="116">
      <x:c r="A116" s="16" t="str">
        <x:v>FWPRO-SESSION-011</x:v>
      </x:c>
      <x:c r="B116" s="16" t="str">
        <x:v>SESSION</x:v>
      </x:c>
      <x:c r="C116" s="16" t="str">
        <x:v>Session, cookies and browser state</x:v>
      </x:c>
      <x:c r="D116" s="16" t="str">
        <x:v>Do not cache authenticated sensitive pages publicly or across tenants.</x:v>
      </x:c>
      <x:c r="E116" s="16" t="str">
        <x:v>A repeatable, bounded check produces current sanitized evidence for this control, or explicitly marks it blocked/not-tested. Finding absence alone is not proof of compliance. Control objective: Do not cache authenticated sensitive pages publicly or across tenants.</x:v>
      </x:c>
      <x:c r="F116" s="16" t="str">
        <x:v>Timestamped HTTP/browser observation, sanitized response/request metadata, scanner version and rule ID.</x:v>
      </x:c>
      <x:c r="G116" s="16" t="str">
        <x:v>automated_passive</x:v>
      </x:c>
      <x:c r="H116" s="16" t="str">
        <x:v>P1</x:v>
      </x:c>
      <x:c r="I116" s="16" t="str">
        <x:v>core</x:v>
      </x:c>
      <x:c r="J116" s="16" t="str">
        <x:v>direct; supporting | direct; supporting</x:v>
      </x:c>
      <x:c r="K116" s="16" t="str">
        <x:v>OWASP_ASVS; OWASP_WSTG; OWASP_CHEATSHEETS; COOKIE_RFC6265; OWASP_TOP10; NIST_800_63; NIST_800_53</x:v>
      </x:c>
      <x:c r="L116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6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6" s="16" t="str">
        <x:v>not_assessed</x:v>
      </x:c>
      <x:c r="O116" s="16" t="str"/>
      <x:c r="P116" s="18" t="str"/>
      <x:c r="Q116" s="16" t="str"/>
      <x:c r="R116" s="16" t="str"/>
      <x:c r="S116" s="16" t="str"/>
      <x:c r="T116" s="18" t="str"/>
      <x:c r="U116" s="16" t="str"/>
      <x:c r="V116" s="16" t="n">
        <x:v>0</x:v>
      </x:c>
    </x:row>
    <x:row r="117">
      <x:c r="A117" s="16" t="str">
        <x:v>FWPRO-SESSION-012</x:v>
      </x:c>
      <x:c r="B117" s="16" t="str">
        <x:v>SESSION</x:v>
      </x:c>
      <x:c r="C117" s="16" t="str">
        <x:v>Session, cookies and browser state</x:v>
      </x:c>
      <x:c r="D117" s="16" t="str">
        <x:v>Ensure tokens are not exposed in URLs, browser history, referrers, telemetry or error pages.</x:v>
      </x:c>
      <x:c r="E117" s="16" t="str">
        <x:v>A repeatable, bounded check produces current sanitized evidence for this control, or explicitly marks it blocked/not-tested. Finding absence alone is not proof of compliance. Control objective: Ensure tokens are not exposed in URLs, browser history, referrers, telemetry or error pages.</x:v>
      </x:c>
      <x:c r="F117" s="16" t="str">
        <x:v>Timestamped HTTP/browser observation, sanitized response/request metadata, scanner version and rule ID.</x:v>
      </x:c>
      <x:c r="G117" s="16" t="str">
        <x:v>automated_passive</x:v>
      </x:c>
      <x:c r="H117" s="16" t="str">
        <x:v>P1</x:v>
      </x:c>
      <x:c r="I117" s="16" t="str">
        <x:v>core</x:v>
      </x:c>
      <x:c r="J117" s="16" t="str">
        <x:v>direct; supporting | direct; supporting</x:v>
      </x:c>
      <x:c r="K117" s="16" t="str">
        <x:v>OWASP_ASVS; OWASP_WSTG; OWASP_CHEATSHEETS; COOKIE_RFC6265; OWASP_TOP10; NIST_800_63; NIST_800_53</x:v>
      </x:c>
      <x:c r="L117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7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7" s="16" t="str">
        <x:v>not_assessed</x:v>
      </x:c>
      <x:c r="O117" s="16" t="str"/>
      <x:c r="P117" s="18" t="str"/>
      <x:c r="Q117" s="16" t="str"/>
      <x:c r="R117" s="16" t="str"/>
      <x:c r="S117" s="16" t="str"/>
      <x:c r="T117" s="18" t="str"/>
      <x:c r="U117" s="16" t="str"/>
      <x:c r="V117" s="16" t="n">
        <x:v>0</x:v>
      </x:c>
    </x:row>
    <x:row r="118">
      <x:c r="A118" s="16" t="str">
        <x:v>FWPRO-SESSION-013</x:v>
      </x:c>
      <x:c r="B118" s="16" t="str">
        <x:v>SESSION</x:v>
      </x:c>
      <x:c r="C118" s="16" t="str">
        <x:v>Session, cookies and browser state</x:v>
      </x:c>
      <x:c r="D118" s="16" t="str">
        <x:v>Avoid storing high-value session secrets in localStorage when safer alternatives meet the architecture.</x:v>
      </x:c>
      <x:c r="E118" s="16" t="str">
        <x:v>A repeatable, bounded check produces current sanitized evidence for this control, or explicitly marks it blocked/not-tested. Finding absence alone is not proof of compliance. Control objective: Avoid storing high-value session secrets in localStorage when safer alternatives meet the architecture.</x:v>
      </x:c>
      <x:c r="F118" s="16" t="str">
        <x:v>Timestamped HTTP/browser observation, sanitized response/request metadata, scanner version and rule ID.</x:v>
      </x:c>
      <x:c r="G118" s="16" t="str">
        <x:v>automated_passive</x:v>
      </x:c>
      <x:c r="H118" s="16" t="str">
        <x:v>P1</x:v>
      </x:c>
      <x:c r="I118" s="16" t="str">
        <x:v>core</x:v>
      </x:c>
      <x:c r="J118" s="16" t="str">
        <x:v>direct; supporting | direct; supporting</x:v>
      </x:c>
      <x:c r="K118" s="16" t="str">
        <x:v>OWASP_ASVS; OWASP_WSTG; OWASP_CHEATSHEETS; COOKIE_RFC6265; OWASP_TOP10; NIST_800_63; NIST_800_53</x:v>
      </x:c>
      <x:c r="L118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8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8" s="16" t="str">
        <x:v>not_assessed</x:v>
      </x:c>
      <x:c r="O118" s="16" t="str"/>
      <x:c r="P118" s="18" t="str"/>
      <x:c r="Q118" s="16" t="str"/>
      <x:c r="R118" s="16" t="str"/>
      <x:c r="S118" s="16" t="str"/>
      <x:c r="T118" s="18" t="str"/>
      <x:c r="U118" s="16" t="str"/>
      <x:c r="V118" s="16" t="n">
        <x:v>0</x:v>
      </x:c>
    </x:row>
    <x:row r="119">
      <x:c r="A119" s="16" t="str">
        <x:v>FWPRO-SESSION-014</x:v>
      </x:c>
      <x:c r="B119" s="16" t="str">
        <x:v>SESSION</x:v>
      </x:c>
      <x:c r="C119" s="16" t="str">
        <x:v>Session, cookies and browser state</x:v>
      </x:c>
      <x:c r="D119" s="16" t="str">
        <x:v>Review concurrent session handling and suspicious-session revocation.</x:v>
      </x:c>
      <x:c r="E119" s="16" t="str">
        <x:v>A repeatable, bounded check produces current sanitized evidence for this control, or explicitly marks it blocked/not-tested. Finding absence alone is not proof of compliance. Control objective: Review concurrent session handling and suspicious-session revocation.</x:v>
      </x:c>
      <x:c r="F119" s="16" t="str">
        <x:v>Timestamped HTTP/browser observation, sanitized response/request metadata, scanner version and rule ID.</x:v>
      </x:c>
      <x:c r="G119" s="16" t="str">
        <x:v>automated_passive</x:v>
      </x:c>
      <x:c r="H119" s="16" t="str">
        <x:v>P1</x:v>
      </x:c>
      <x:c r="I119" s="16" t="str">
        <x:v>core</x:v>
      </x:c>
      <x:c r="J119" s="16" t="str">
        <x:v>direct; supporting | direct; supporting</x:v>
      </x:c>
      <x:c r="K119" s="16" t="str">
        <x:v>OWASP_ASVS; OWASP_WSTG; OWASP_CHEATSHEETS; COOKIE_RFC6265; OWASP_TOP10; NIST_800_63; NIST_800_53</x:v>
      </x:c>
      <x:c r="L119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19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19" s="16" t="str">
        <x:v>not_assessed</x:v>
      </x:c>
      <x:c r="O119" s="16" t="str"/>
      <x:c r="P119" s="18" t="str"/>
      <x:c r="Q119" s="16" t="str"/>
      <x:c r="R119" s="16" t="str"/>
      <x:c r="S119" s="16" t="str"/>
      <x:c r="T119" s="18" t="str"/>
      <x:c r="U119" s="16" t="str"/>
      <x:c r="V119" s="16" t="n">
        <x:v>0</x:v>
      </x:c>
    </x:row>
    <x:row r="120">
      <x:c r="A120" s="16" t="str">
        <x:v>FWPRO-SESSION-015</x:v>
      </x:c>
      <x:c r="B120" s="16" t="str">
        <x:v>SESSION</x:v>
      </x:c>
      <x:c r="C120" s="16" t="str">
        <x:v>Session, cookies and browser state</x:v>
      </x:c>
      <x:c r="D120" s="16" t="str">
        <x:v>Test session behavior in a real browser for applicable SameSite and cross-origin interactions.</x:v>
      </x:c>
      <x:c r="E120" s="16" t="str">
        <x:v>A repeatable, bounded check produces current sanitized evidence for this control, or explicitly marks it blocked/not-tested. Finding absence alone is not proof of compliance. Control objective: Test session behavior in a real browser for applicable SameSite and cross-origin interactions.</x:v>
      </x:c>
      <x:c r="F120" s="16" t="str">
        <x:v>Timestamped HTTP/browser observation, sanitized response/request metadata, scanner version and rule ID.</x:v>
      </x:c>
      <x:c r="G120" s="16" t="str">
        <x:v>automated_passive</x:v>
      </x:c>
      <x:c r="H120" s="16" t="str">
        <x:v>P1</x:v>
      </x:c>
      <x:c r="I120" s="16" t="str">
        <x:v>core</x:v>
      </x:c>
      <x:c r="J120" s="16" t="str">
        <x:v>direct; supporting | direct; supporting</x:v>
      </x:c>
      <x:c r="K120" s="16" t="str">
        <x:v>OWASP_ASVS; OWASP_WSTG; OWASP_CHEATSHEETS; COOKIE_RFC6265; OWASP_TOP10; NIST_800_63; NIST_800_53</x:v>
      </x:c>
      <x:c r="L120" s="16" t="str">
        <x:v>OWASP Application Security Verification Standard (5.0.0 (stable)); OWASP Web Security Testing Guide (v4.2 (current stable)); OWASP Cheat Sheet Series (Rolling community guidance); IETF RFC 6265 HTTP State Management Mechanism (2011; track successor work); OWASP Top 10 (2025 (released)); NIST SP 800-63 Digital Identity Guidelines (Revision 4 (2025)); NIST SP 800-53 Security and Privacy Controls (Rev. 5 + current errata)</x:v>
      </x:c>
      <x:c r="M120" s="16" t="str">
        <x:v>https://owasp.org/www-project-application-security-verification-standard/; https://owasp.org/www-project-web-security-testing-guide/v42/; https://cheatsheetseries.owasp.org/; https://www.rfc-editor.org/rfc/rfc6265.html; https://owasp.org/projects/top-ten; https://csrc.nist.gov/pubs/sp/800/63/4/final; https://csrc.nist.gov/pubs/sp/800/53/r5/upd1/final</x:v>
      </x:c>
      <x:c r="N120" s="16" t="str">
        <x:v>not_assessed</x:v>
      </x:c>
      <x:c r="O120" s="16" t="str"/>
      <x:c r="P120" s="18" t="str"/>
      <x:c r="Q120" s="16" t="str"/>
      <x:c r="R120" s="16" t="str"/>
      <x:c r="S120" s="16" t="str"/>
      <x:c r="T120" s="18" t="str"/>
      <x:c r="U120" s="16" t="str"/>
      <x:c r="V120" s="16" t="n">
        <x:v>0</x:v>
      </x:c>
    </x:row>
    <x:row r="121">
      <x:c r="A121" s="16" t="str">
        <x:v>FWPRO-INPUT-001</x:v>
      </x:c>
      <x:c r="B121" s="16" t="str">
        <x:v>INPUT</x:v>
      </x:c>
      <x:c r="C121" s="16" t="str">
        <x:v>Input validation, output encoding and injection</x:v>
      </x:c>
      <x:c r="D121" s="16" t="str">
        <x:v>Validate inputs with allowlists, type constraints, canonicalization and size limits at trusted boundaries.</x:v>
      </x:c>
      <x:c r="E121" s="16" t="str">
        <x:v>Run only with the documented prerequisites, approved scope and suitable specialist method; record method, version, limitations and reviewer disposition. Control objective: Validate inputs with allowlists, type constraints, canonicalization and size limits at trusted boundaries.</x:v>
      </x:c>
      <x:c r="F121" s="16" t="str">
        <x:v>Reproducible test case, approved test account/environment, tool/version and reviewer validation.</x:v>
      </x:c>
      <x:c r="G121" s="16" t="str">
        <x:v>manual_or_specialist_tool</x:v>
      </x:c>
      <x:c r="H121" s="16" t="str">
        <x:v>P0</x:v>
      </x:c>
      <x:c r="I121" s="16" t="str">
        <x:v>core</x:v>
      </x:c>
      <x:c r="J121" s="16" t="str">
        <x:v>direct; supporting | direct; supporting</x:v>
      </x:c>
      <x:c r="K121" s="16" t="str">
        <x:v>OWASP_ASVS; OWASP_WSTG; OWASP_TOP10; OWASP_CHEATSHEETS; CWE_TOP25; CAPEC; OWASP_API</x:v>
      </x:c>
      <x:c r="L121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1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1" s="16" t="str">
        <x:v>not_assessed</x:v>
      </x:c>
      <x:c r="O121" s="16" t="str"/>
      <x:c r="P121" s="18" t="str"/>
      <x:c r="Q121" s="16" t="str"/>
      <x:c r="R121" s="16" t="str"/>
      <x:c r="S121" s="16" t="str"/>
      <x:c r="T121" s="18" t="str"/>
      <x:c r="U121" s="16" t="str"/>
      <x:c r="V121" s="16" t="n">
        <x:v>0</x:v>
      </x:c>
    </x:row>
    <x:row r="122">
      <x:c r="A122" s="16" t="str">
        <x:v>FWPRO-INPUT-002</x:v>
      </x:c>
      <x:c r="B122" s="16" t="str">
        <x:v>INPUT</x:v>
      </x:c>
      <x:c r="C122" s="16" t="str">
        <x:v>Input validation, output encoding and injection</x:v>
      </x:c>
      <x:c r="D122" s="16" t="str">
        <x:v>Use context-appropriate output encoding for HTML, attributes, JavaScript, CSS and URL contexts.</x:v>
      </x:c>
      <x:c r="E122" s="16" t="str">
        <x:v>Run only with the documented prerequisites, approved scope and suitable specialist method; record method, version, limitations and reviewer disposition. Control objective: Use context-appropriate output encoding for HTML, attributes, JavaScript, CSS and URL contexts.</x:v>
      </x:c>
      <x:c r="F122" s="16" t="str">
        <x:v>Reproducible test case, approved test account/environment, tool/version and reviewer validation.</x:v>
      </x:c>
      <x:c r="G122" s="16" t="str">
        <x:v>manual_or_specialist_tool</x:v>
      </x:c>
      <x:c r="H122" s="16" t="str">
        <x:v>P0</x:v>
      </x:c>
      <x:c r="I122" s="16" t="str">
        <x:v>core</x:v>
      </x:c>
      <x:c r="J122" s="16" t="str">
        <x:v>direct; supporting | direct; supporting</x:v>
      </x:c>
      <x:c r="K122" s="16" t="str">
        <x:v>OWASP_ASVS; OWASP_WSTG; OWASP_TOP10; OWASP_CHEATSHEETS; CWE_TOP25; CAPEC; OWASP_API</x:v>
      </x:c>
      <x:c r="L122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2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2" s="16" t="str">
        <x:v>not_assessed</x:v>
      </x:c>
      <x:c r="O122" s="16" t="str"/>
      <x:c r="P122" s="18" t="str"/>
      <x:c r="Q122" s="16" t="str"/>
      <x:c r="R122" s="16" t="str"/>
      <x:c r="S122" s="16" t="str"/>
      <x:c r="T122" s="18" t="str"/>
      <x:c r="U122" s="16" t="str"/>
      <x:c r="V122" s="16" t="n">
        <x:v>0</x:v>
      </x:c>
    </x:row>
    <x:row r="123">
      <x:c r="A123" s="16" t="str">
        <x:v>FWPRO-INPUT-003</x:v>
      </x:c>
      <x:c r="B123" s="16" t="str">
        <x:v>INPUT</x:v>
      </x:c>
      <x:c r="C123" s="16" t="str">
        <x:v>Input validation, output encoding and injection</x:v>
      </x:c>
      <x:c r="D123" s="16" t="str">
        <x:v>Use safe DOM APIs and avoid interpreting untrusted strings as executable markup or script.</x:v>
      </x:c>
      <x:c r="E123" s="16" t="str">
        <x:v>Run only with the documented prerequisites, approved scope and suitable specialist method; record method, version, limitations and reviewer disposition. Control objective: Use safe DOM APIs and avoid interpreting untrusted strings as executable markup or script.</x:v>
      </x:c>
      <x:c r="F123" s="16" t="str">
        <x:v>Reproducible test case, approved test account/environment, tool/version and reviewer validation.</x:v>
      </x:c>
      <x:c r="G123" s="16" t="str">
        <x:v>manual_or_specialist_tool</x:v>
      </x:c>
      <x:c r="H123" s="16" t="str">
        <x:v>P0</x:v>
      </x:c>
      <x:c r="I123" s="16" t="str">
        <x:v>core</x:v>
      </x:c>
      <x:c r="J123" s="16" t="str">
        <x:v>direct; supporting | direct; supporting</x:v>
      </x:c>
      <x:c r="K123" s="16" t="str">
        <x:v>OWASP_ASVS; OWASP_WSTG; OWASP_TOP10; OWASP_CHEATSHEETS; CWE_TOP25; CAPEC; OWASP_API</x:v>
      </x:c>
      <x:c r="L123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3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3" s="16" t="str">
        <x:v>not_assessed</x:v>
      </x:c>
      <x:c r="O123" s="16" t="str"/>
      <x:c r="P123" s="18" t="str"/>
      <x:c r="Q123" s="16" t="str"/>
      <x:c r="R123" s="16" t="str"/>
      <x:c r="S123" s="16" t="str"/>
      <x:c r="T123" s="18" t="str"/>
      <x:c r="U123" s="16" t="str"/>
      <x:c r="V123" s="16" t="n">
        <x:v>0</x:v>
      </x:c>
    </x:row>
    <x:row r="124">
      <x:c r="A124" s="16" t="str">
        <x:v>FWPRO-INPUT-004</x:v>
      </x:c>
      <x:c r="B124" s="16" t="str">
        <x:v>INPUT</x:v>
      </x:c>
      <x:c r="C124" s="16" t="str">
        <x:v>Input validation, output encoding and injection</x:v>
      </x:c>
      <x:c r="D124" s="16" t="str">
        <x:v>Use parameterized database queries or equivalent safe query construction.</x:v>
      </x:c>
      <x:c r="E124" s="16" t="str">
        <x:v>Run only with the documented prerequisites, approved scope and suitable specialist method; record method, version, limitations and reviewer disposition. Control objective: Use parameterized database queries or equivalent safe query construction.</x:v>
      </x:c>
      <x:c r="F124" s="16" t="str">
        <x:v>Reproducible test case, approved test account/environment, tool/version and reviewer validation.</x:v>
      </x:c>
      <x:c r="G124" s="16" t="str">
        <x:v>manual_or_specialist_tool</x:v>
      </x:c>
      <x:c r="H124" s="16" t="str">
        <x:v>P0</x:v>
      </x:c>
      <x:c r="I124" s="16" t="str">
        <x:v>core</x:v>
      </x:c>
      <x:c r="J124" s="16" t="str">
        <x:v>direct; supporting | direct; supporting</x:v>
      </x:c>
      <x:c r="K124" s="16" t="str">
        <x:v>OWASP_ASVS; OWASP_WSTG; OWASP_TOP10; OWASP_CHEATSHEETS; CWE_TOP25; CAPEC; OWASP_API</x:v>
      </x:c>
      <x:c r="L124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4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4" s="16" t="str">
        <x:v>not_assessed</x:v>
      </x:c>
      <x:c r="O124" s="16" t="str"/>
      <x:c r="P124" s="18" t="str"/>
      <x:c r="Q124" s="16" t="str"/>
      <x:c r="R124" s="16" t="str"/>
      <x:c r="S124" s="16" t="str"/>
      <x:c r="T124" s="18" t="str"/>
      <x:c r="U124" s="16" t="str"/>
      <x:c r="V124" s="16" t="n">
        <x:v>0</x:v>
      </x:c>
    </x:row>
    <x:row r="125">
      <x:c r="A125" s="16" t="str">
        <x:v>FWPRO-INPUT-005</x:v>
      </x:c>
      <x:c r="B125" s="16" t="str">
        <x:v>INPUT</x:v>
      </x:c>
      <x:c r="C125" s="16" t="str">
        <x:v>Input validation, output encoding and injection</x:v>
      </x:c>
      <x:c r="D125" s="16" t="str">
        <x:v>Review SQL, NoSQL, LDAP, XPath and search-query construction for interpreter injection.</x:v>
      </x:c>
      <x:c r="E125" s="16" t="str">
        <x:v>Run only with the documented prerequisites, approved scope and suitable specialist method; record method, version, limitations and reviewer disposition. Control objective: Review SQL, NoSQL, LDAP, XPath and search-query construction for interpreter injection.</x:v>
      </x:c>
      <x:c r="F125" s="16" t="str">
        <x:v>Reproducible test case, approved test account/environment, tool/version and reviewer validation.</x:v>
      </x:c>
      <x:c r="G125" s="16" t="str">
        <x:v>manual_or_specialist_tool</x:v>
      </x:c>
      <x:c r="H125" s="16" t="str">
        <x:v>P0</x:v>
      </x:c>
      <x:c r="I125" s="16" t="str">
        <x:v>core</x:v>
      </x:c>
      <x:c r="J125" s="16" t="str">
        <x:v>direct; supporting | direct; supporting</x:v>
      </x:c>
      <x:c r="K125" s="16" t="str">
        <x:v>OWASP_ASVS; OWASP_WSTG; OWASP_TOP10; OWASP_CHEATSHEETS; CWE_TOP25; CAPEC; OWASP_API</x:v>
      </x:c>
      <x:c r="L125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5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5" s="16" t="str">
        <x:v>not_assessed</x:v>
      </x:c>
      <x:c r="O125" s="16" t="str"/>
      <x:c r="P125" s="18" t="str"/>
      <x:c r="Q125" s="16" t="str"/>
      <x:c r="R125" s="16" t="str"/>
      <x:c r="S125" s="16" t="str"/>
      <x:c r="T125" s="18" t="str"/>
      <x:c r="U125" s="16" t="str"/>
      <x:c r="V125" s="16" t="n">
        <x:v>0</x:v>
      </x:c>
    </x:row>
    <x:row r="126">
      <x:c r="A126" s="16" t="str">
        <x:v>FWPRO-INPUT-006</x:v>
      </x:c>
      <x:c r="B126" s="16" t="str">
        <x:v>INPUT</x:v>
      </x:c>
      <x:c r="C126" s="16" t="str">
        <x:v>Input validation, output encoding and injection</x:v>
      </x:c>
      <x:c r="D126" s="16" t="str">
        <x:v>Use safe process APIs without shell interpolation for operating-system operations.</x:v>
      </x:c>
      <x:c r="E126" s="16" t="str">
        <x:v>Run only with the documented prerequisites, approved scope and suitable specialist method; record method, version, limitations and reviewer disposition. Control objective: Use safe process APIs without shell interpolation for operating-system operations.</x:v>
      </x:c>
      <x:c r="F126" s="16" t="str">
        <x:v>Reproducible test case, approved test account/environment, tool/version and reviewer validation.</x:v>
      </x:c>
      <x:c r="G126" s="16" t="str">
        <x:v>manual_or_specialist_tool</x:v>
      </x:c>
      <x:c r="H126" s="16" t="str">
        <x:v>P0</x:v>
      </x:c>
      <x:c r="I126" s="16" t="str">
        <x:v>core</x:v>
      </x:c>
      <x:c r="J126" s="16" t="str">
        <x:v>direct; supporting | direct; supporting</x:v>
      </x:c>
      <x:c r="K126" s="16" t="str">
        <x:v>OWASP_ASVS; OWASP_WSTG; OWASP_TOP10; OWASP_CHEATSHEETS; CWE_TOP25; CAPEC; OWASP_API</x:v>
      </x:c>
      <x:c r="L126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6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6" s="16" t="str">
        <x:v>not_assessed</x:v>
      </x:c>
      <x:c r="O126" s="16" t="str"/>
      <x:c r="P126" s="18" t="str"/>
      <x:c r="Q126" s="16" t="str"/>
      <x:c r="R126" s="16" t="str"/>
      <x:c r="S126" s="16" t="str"/>
      <x:c r="T126" s="18" t="str"/>
      <x:c r="U126" s="16" t="str"/>
      <x:c r="V126" s="16" t="n">
        <x:v>0</x:v>
      </x:c>
    </x:row>
    <x:row r="127">
      <x:c r="A127" s="16" t="str">
        <x:v>FWPRO-INPUT-007</x:v>
      </x:c>
      <x:c r="B127" s="16" t="str">
        <x:v>INPUT</x:v>
      </x:c>
      <x:c r="C127" s="16" t="str">
        <x:v>Input validation, output encoding and injection</x:v>
      </x:c>
      <x:c r="D127" s="16" t="str">
        <x:v>Review template rendering to ensure untrusted data cannot become executable template syntax.</x:v>
      </x:c>
      <x:c r="E127" s="16" t="str">
        <x:v>Run only with the documented prerequisites, approved scope and suitable specialist method; record method, version, limitations and reviewer disposition. Control objective: Review template rendering to ensure untrusted data cannot become executable template syntax.</x:v>
      </x:c>
      <x:c r="F127" s="16" t="str">
        <x:v>Reproducible test case, approved test account/environment, tool/version and reviewer validation.</x:v>
      </x:c>
      <x:c r="G127" s="16" t="str">
        <x:v>manual_or_specialist_tool</x:v>
      </x:c>
      <x:c r="H127" s="16" t="str">
        <x:v>P0</x:v>
      </x:c>
      <x:c r="I127" s="16" t="str">
        <x:v>core</x:v>
      </x:c>
      <x:c r="J127" s="16" t="str">
        <x:v>direct; supporting | direct; supporting</x:v>
      </x:c>
      <x:c r="K127" s="16" t="str">
        <x:v>OWASP_ASVS; OWASP_WSTG; OWASP_TOP10; OWASP_CHEATSHEETS; CWE_TOP25; CAPEC; OWASP_API</x:v>
      </x:c>
      <x:c r="L127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7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7" s="16" t="str">
        <x:v>not_assessed</x:v>
      </x:c>
      <x:c r="O127" s="16" t="str"/>
      <x:c r="P127" s="18" t="str"/>
      <x:c r="Q127" s="16" t="str"/>
      <x:c r="R127" s="16" t="str"/>
      <x:c r="S127" s="16" t="str"/>
      <x:c r="T127" s="18" t="str"/>
      <x:c r="U127" s="16" t="str"/>
      <x:c r="V127" s="16" t="n">
        <x:v>0</x:v>
      </x:c>
    </x:row>
    <x:row r="128">
      <x:c r="A128" s="16" t="str">
        <x:v>FWPRO-INPUT-008</x:v>
      </x:c>
      <x:c r="B128" s="16" t="str">
        <x:v>INPUT</x:v>
      </x:c>
      <x:c r="C128" s="16" t="str">
        <x:v>Input validation, output encoding and injection</x:v>
      </x:c>
      <x:c r="D128" s="16" t="str">
        <x:v>Disable unsafe XML external entity and external resource resolution where not required.</x:v>
      </x:c>
      <x:c r="E128" s="16" t="str">
        <x:v>Run only with the documented prerequisites, approved scope and suitable specialist method; record method, version, limitations and reviewer disposition. Control objective: Disable unsafe XML external entity and external resource resolution where not required.</x:v>
      </x:c>
      <x:c r="F128" s="16" t="str">
        <x:v>Reproducible test case, approved test account/environment, tool/version and reviewer validation.</x:v>
      </x:c>
      <x:c r="G128" s="16" t="str">
        <x:v>manual_or_specialist_tool</x:v>
      </x:c>
      <x:c r="H128" s="16" t="str">
        <x:v>P0</x:v>
      </x:c>
      <x:c r="I128" s="16" t="str">
        <x:v>core</x:v>
      </x:c>
      <x:c r="J128" s="16" t="str">
        <x:v>direct; supporting | direct; supporting</x:v>
      </x:c>
      <x:c r="K128" s="16" t="str">
        <x:v>OWASP_ASVS; OWASP_WSTG; OWASP_TOP10; OWASP_CHEATSHEETS; CWE_TOP25; CAPEC; OWASP_API</x:v>
      </x:c>
      <x:c r="L128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8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8" s="16" t="str">
        <x:v>not_assessed</x:v>
      </x:c>
      <x:c r="O128" s="16" t="str"/>
      <x:c r="P128" s="18" t="str"/>
      <x:c r="Q128" s="16" t="str"/>
      <x:c r="R128" s="16" t="str"/>
      <x:c r="S128" s="16" t="str"/>
      <x:c r="T128" s="18" t="str"/>
      <x:c r="U128" s="16" t="str"/>
      <x:c r="V128" s="16" t="n">
        <x:v>0</x:v>
      </x:c>
    </x:row>
    <x:row r="129">
      <x:c r="A129" s="16" t="str">
        <x:v>FWPRO-INPUT-009</x:v>
      </x:c>
      <x:c r="B129" s="16" t="str">
        <x:v>INPUT</x:v>
      </x:c>
      <x:c r="C129" s="16" t="str">
        <x:v>Input validation, output encoding and injection</x:v>
      </x:c>
      <x:c r="D129" s="16" t="str">
        <x:v>Validate file paths after canonicalization and enforce containment within an approved directory.</x:v>
      </x:c>
      <x:c r="E129" s="16" t="str">
        <x:v>Run only with the documented prerequisites, approved scope and suitable specialist method; record method, version, limitations and reviewer disposition. Control objective: Validate file paths after canonicalization and enforce containment within an approved directory.</x:v>
      </x:c>
      <x:c r="F129" s="16" t="str">
        <x:v>Reproducible test case, approved test account/environment, tool/version and reviewer validation.</x:v>
      </x:c>
      <x:c r="G129" s="16" t="str">
        <x:v>manual_or_specialist_tool</x:v>
      </x:c>
      <x:c r="H129" s="16" t="str">
        <x:v>P0</x:v>
      </x:c>
      <x:c r="I129" s="16" t="str">
        <x:v>core</x:v>
      </x:c>
      <x:c r="J129" s="16" t="str">
        <x:v>direct; supporting | direct; supporting</x:v>
      </x:c>
      <x:c r="K129" s="16" t="str">
        <x:v>OWASP_ASVS; OWASP_WSTG; OWASP_TOP10; OWASP_CHEATSHEETS; CWE_TOP25; CAPEC; OWASP_API</x:v>
      </x:c>
      <x:c r="L129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29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29" s="16" t="str">
        <x:v>not_assessed</x:v>
      </x:c>
      <x:c r="O129" s="16" t="str"/>
      <x:c r="P129" s="18" t="str"/>
      <x:c r="Q129" s="16" t="str"/>
      <x:c r="R129" s="16" t="str"/>
      <x:c r="S129" s="16" t="str"/>
      <x:c r="T129" s="18" t="str"/>
      <x:c r="U129" s="16" t="str"/>
      <x:c r="V129" s="16" t="n">
        <x:v>0</x:v>
      </x:c>
    </x:row>
    <x:row r="130">
      <x:c r="A130" s="16" t="str">
        <x:v>FWPRO-INPUT-010</x:v>
      </x:c>
      <x:c r="B130" s="16" t="str">
        <x:v>INPUT</x:v>
      </x:c>
      <x:c r="C130" s="16" t="str">
        <x:v>Input validation, output encoding and injection</x:v>
      </x:c>
      <x:c r="D130" s="16" t="str">
        <x:v>Validate URL-fetch inputs against scheme, hostname, port, DNS and network policy to reduce SSRF risk.</x:v>
      </x:c>
      <x:c r="E130" s="16" t="str">
        <x:v>Run only with the documented prerequisites, approved scope and suitable specialist method; record method, version, limitations and reviewer disposition. Control objective: Validate URL-fetch inputs against scheme, hostname, port, DNS and network policy to reduce SSRF risk.</x:v>
      </x:c>
      <x:c r="F130" s="16" t="str">
        <x:v>Reproducible test case, approved test account/environment, tool/version and reviewer validation.</x:v>
      </x:c>
      <x:c r="G130" s="16" t="str">
        <x:v>manual_or_specialist_tool</x:v>
      </x:c>
      <x:c r="H130" s="16" t="str">
        <x:v>P0</x:v>
      </x:c>
      <x:c r="I130" s="16" t="str">
        <x:v>core</x:v>
      </x:c>
      <x:c r="J130" s="16" t="str">
        <x:v>direct; supporting | direct; supporting</x:v>
      </x:c>
      <x:c r="K130" s="16" t="str">
        <x:v>OWASP_ASVS; OWASP_WSTG; OWASP_TOP10; OWASP_CHEATSHEETS; CWE_TOP25; CAPEC; OWASP_API</x:v>
      </x:c>
      <x:c r="L130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0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0" s="16" t="str">
        <x:v>not_assessed</x:v>
      </x:c>
      <x:c r="O130" s="16" t="str"/>
      <x:c r="P130" s="18" t="str"/>
      <x:c r="Q130" s="16" t="str"/>
      <x:c r="R130" s="16" t="str"/>
      <x:c r="S130" s="16" t="str"/>
      <x:c r="T130" s="18" t="str"/>
      <x:c r="U130" s="16" t="str"/>
      <x:c r="V130" s="16" t="n">
        <x:v>0</x:v>
      </x:c>
    </x:row>
    <x:row r="131">
      <x:c r="A131" s="16" t="str">
        <x:v>FWPRO-INPUT-011</x:v>
      </x:c>
      <x:c r="B131" s="16" t="str">
        <x:v>INPUT</x:v>
      </x:c>
      <x:c r="C131" s="16" t="str">
        <x:v>Input validation, output encoding and injection</x:v>
      </x:c>
      <x:c r="D131" s="16" t="str">
        <x:v>Prevent HTTP parameter pollution and duplicate-parameter ambiguity in security-sensitive inputs.</x:v>
      </x:c>
      <x:c r="E131" s="16" t="str">
        <x:v>Run only with the documented prerequisites, approved scope and suitable specialist method; record method, version, limitations and reviewer disposition. Control objective: Prevent HTTP parameter pollution and duplicate-parameter ambiguity in security-sensitive inputs.</x:v>
      </x:c>
      <x:c r="F131" s="16" t="str">
        <x:v>Reproducible test case, approved test account/environment, tool/version and reviewer validation.</x:v>
      </x:c>
      <x:c r="G131" s="16" t="str">
        <x:v>manual_or_specialist_tool</x:v>
      </x:c>
      <x:c r="H131" s="16" t="str">
        <x:v>P0</x:v>
      </x:c>
      <x:c r="I131" s="16" t="str">
        <x:v>core</x:v>
      </x:c>
      <x:c r="J131" s="16" t="str">
        <x:v>direct; supporting | direct; supporting</x:v>
      </x:c>
      <x:c r="K131" s="16" t="str">
        <x:v>OWASP_ASVS; OWASP_WSTG; OWASP_TOP10; OWASP_CHEATSHEETS; CWE_TOP25; CAPEC; OWASP_API</x:v>
      </x:c>
      <x:c r="L131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1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1" s="16" t="str">
        <x:v>not_assessed</x:v>
      </x:c>
      <x:c r="O131" s="16" t="str"/>
      <x:c r="P131" s="18" t="str"/>
      <x:c r="Q131" s="16" t="str"/>
      <x:c r="R131" s="16" t="str"/>
      <x:c r="S131" s="16" t="str"/>
      <x:c r="T131" s="18" t="str"/>
      <x:c r="U131" s="16" t="str"/>
      <x:c r="V131" s="16" t="n">
        <x:v>0</x:v>
      </x:c>
    </x:row>
    <x:row r="132">
      <x:c r="A132" s="16" t="str">
        <x:v>FWPRO-INPUT-012</x:v>
      </x:c>
      <x:c r="B132" s="16" t="str">
        <x:v>INPUT</x:v>
      </x:c>
      <x:c r="C132" s="16" t="str">
        <x:v>Input validation, output encoding and injection</x:v>
      </x:c>
      <x:c r="D132" s="16" t="str">
        <x:v>Set maximum request, header, body, nesting, decompression and parser sizes.</x:v>
      </x:c>
      <x:c r="E132" s="16" t="str">
        <x:v>Run only with the documented prerequisites, approved scope and suitable specialist method; record method, version, limitations and reviewer disposition. Control objective: Set maximum request, header, body, nesting, decompression and parser sizes.</x:v>
      </x:c>
      <x:c r="F132" s="16" t="str">
        <x:v>Reproducible test case, approved test account/environment, tool/version and reviewer validation.</x:v>
      </x:c>
      <x:c r="G132" s="16" t="str">
        <x:v>manual_or_specialist_tool</x:v>
      </x:c>
      <x:c r="H132" s="16" t="str">
        <x:v>P0</x:v>
      </x:c>
      <x:c r="I132" s="16" t="str">
        <x:v>core</x:v>
      </x:c>
      <x:c r="J132" s="16" t="str">
        <x:v>direct; supporting | direct; supporting</x:v>
      </x:c>
      <x:c r="K132" s="16" t="str">
        <x:v>OWASP_ASVS; OWASP_WSTG; OWASP_TOP10; OWASP_CHEATSHEETS; CWE_TOP25; CAPEC; OWASP_API</x:v>
      </x:c>
      <x:c r="L132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2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2" s="16" t="str">
        <x:v>not_assessed</x:v>
      </x:c>
      <x:c r="O132" s="16" t="str"/>
      <x:c r="P132" s="18" t="str"/>
      <x:c r="Q132" s="16" t="str"/>
      <x:c r="R132" s="16" t="str"/>
      <x:c r="S132" s="16" t="str"/>
      <x:c r="T132" s="18" t="str"/>
      <x:c r="U132" s="16" t="str"/>
      <x:c r="V132" s="16" t="n">
        <x:v>0</x:v>
      </x:c>
    </x:row>
    <x:row r="133">
      <x:c r="A133" s="16" t="str">
        <x:v>FWPRO-INPUT-013</x:v>
      </x:c>
      <x:c r="B133" s="16" t="str">
        <x:v>INPUT</x:v>
      </x:c>
      <x:c r="C133" s="16" t="str">
        <x:v>Input validation, output encoding and injection</x:v>
      </x:c>
      <x:c r="D133" s="16" t="str">
        <x:v>Validate Unicode, null byte, control character and alternate-encoding edge cases.</x:v>
      </x:c>
      <x:c r="E133" s="16" t="str">
        <x:v>Run only with the documented prerequisites, approved scope and suitable specialist method; record method, version, limitations and reviewer disposition. Control objective: Validate Unicode, null byte, control character and alternate-encoding edge cases.</x:v>
      </x:c>
      <x:c r="F133" s="16" t="str">
        <x:v>Reproducible test case, approved test account/environment, tool/version and reviewer validation.</x:v>
      </x:c>
      <x:c r="G133" s="16" t="str">
        <x:v>manual_or_specialist_tool</x:v>
      </x:c>
      <x:c r="H133" s="16" t="str">
        <x:v>P0</x:v>
      </x:c>
      <x:c r="I133" s="16" t="str">
        <x:v>core</x:v>
      </x:c>
      <x:c r="J133" s="16" t="str">
        <x:v>direct; supporting | direct; supporting</x:v>
      </x:c>
      <x:c r="K133" s="16" t="str">
        <x:v>OWASP_ASVS; OWASP_WSTG; OWASP_TOP10; OWASP_CHEATSHEETS; CWE_TOP25; CAPEC; OWASP_API</x:v>
      </x:c>
      <x:c r="L133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3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3" s="16" t="str">
        <x:v>not_assessed</x:v>
      </x:c>
      <x:c r="O133" s="16" t="str"/>
      <x:c r="P133" s="18" t="str"/>
      <x:c r="Q133" s="16" t="str"/>
      <x:c r="R133" s="16" t="str"/>
      <x:c r="S133" s="16" t="str"/>
      <x:c r="T133" s="18" t="str"/>
      <x:c r="U133" s="16" t="str"/>
      <x:c r="V133" s="16" t="n">
        <x:v>0</x:v>
      </x:c>
    </x:row>
    <x:row r="134">
      <x:c r="A134" s="16" t="str">
        <x:v>FWPRO-INPUT-014</x:v>
      </x:c>
      <x:c r="B134" s="16" t="str">
        <x:v>INPUT</x:v>
      </x:c>
      <x:c r="C134" s="16" t="str">
        <x:v>Input validation, output encoding and injection</x:v>
      </x:c>
      <x:c r="D134" s="16" t="str">
        <x:v>Ensure validation and authorization occur on the server for every input path.</x:v>
      </x:c>
      <x:c r="E134" s="16" t="str">
        <x:v>Run only with the documented prerequisites, approved scope and suitable specialist method; record method, version, limitations and reviewer disposition. Control objective: Ensure validation and authorization occur on the server for every input path.</x:v>
      </x:c>
      <x:c r="F134" s="16" t="str">
        <x:v>Reproducible test case, approved test account/environment, tool/version and reviewer validation.</x:v>
      </x:c>
      <x:c r="G134" s="16" t="str">
        <x:v>manual_or_specialist_tool</x:v>
      </x:c>
      <x:c r="H134" s="16" t="str">
        <x:v>P0</x:v>
      </x:c>
      <x:c r="I134" s="16" t="str">
        <x:v>core</x:v>
      </x:c>
      <x:c r="J134" s="16" t="str">
        <x:v>direct; supporting | direct; supporting</x:v>
      </x:c>
      <x:c r="K134" s="16" t="str">
        <x:v>OWASP_ASVS; OWASP_WSTG; OWASP_TOP10; OWASP_CHEATSHEETS; CWE_TOP25; CAPEC; OWASP_API</x:v>
      </x:c>
      <x:c r="L134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4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4" s="16" t="str">
        <x:v>not_assessed</x:v>
      </x:c>
      <x:c r="O134" s="16" t="str"/>
      <x:c r="P134" s="18" t="str"/>
      <x:c r="Q134" s="16" t="str"/>
      <x:c r="R134" s="16" t="str"/>
      <x:c r="S134" s="16" t="str"/>
      <x:c r="T134" s="18" t="str"/>
      <x:c r="U134" s="16" t="str"/>
      <x:c r="V134" s="16" t="n">
        <x:v>0</x:v>
      </x:c>
    </x:row>
    <x:row r="135">
      <x:c r="A135" s="16" t="str">
        <x:v>FWPRO-INPUT-015</x:v>
      </x:c>
      <x:c r="B135" s="16" t="str">
        <x:v>INPUT</x:v>
      </x:c>
      <x:c r="C135" s="16" t="str">
        <x:v>Input validation, output encoding and injection</x:v>
      </x:c>
      <x:c r="D135" s="16" t="str">
        <x:v>Use safe deserialization formats and reject unexpected polymorphic/object types.</x:v>
      </x:c>
      <x:c r="E135" s="16" t="str">
        <x:v>Run only with the documented prerequisites, approved scope and suitable specialist method; record method, version, limitations and reviewer disposition. Control objective: Use safe deserialization formats and reject unexpected polymorphic/object types.</x:v>
      </x:c>
      <x:c r="F135" s="16" t="str">
        <x:v>Reproducible test case, approved test account/environment, tool/version and reviewer validation.</x:v>
      </x:c>
      <x:c r="G135" s="16" t="str">
        <x:v>manual_or_specialist_tool</x:v>
      </x:c>
      <x:c r="H135" s="16" t="str">
        <x:v>P0</x:v>
      </x:c>
      <x:c r="I135" s="16" t="str">
        <x:v>core</x:v>
      </x:c>
      <x:c r="J135" s="16" t="str">
        <x:v>direct; supporting | direct; supporting</x:v>
      </x:c>
      <x:c r="K135" s="16" t="str">
        <x:v>OWASP_ASVS; OWASP_WSTG; OWASP_TOP10; OWASP_CHEATSHEETS; CWE_TOP25; CAPEC; OWASP_API</x:v>
      </x:c>
      <x:c r="L135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5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5" s="16" t="str">
        <x:v>not_assessed</x:v>
      </x:c>
      <x:c r="O135" s="16" t="str"/>
      <x:c r="P135" s="18" t="str"/>
      <x:c r="Q135" s="16" t="str"/>
      <x:c r="R135" s="16" t="str"/>
      <x:c r="S135" s="16" t="str"/>
      <x:c r="T135" s="18" t="str"/>
      <x:c r="U135" s="16" t="str"/>
      <x:c r="V135" s="16" t="n">
        <x:v>0</x:v>
      </x:c>
    </x:row>
    <x:row r="136">
      <x:c r="A136" s="16" t="str">
        <x:v>FWPRO-INPUT-016</x:v>
      </x:c>
      <x:c r="B136" s="16" t="str">
        <x:v>INPUT</x:v>
      </x:c>
      <x:c r="C136" s="16" t="str">
        <x:v>Input validation, output encoding and injection</x:v>
      </x:c>
      <x:c r="D136" s="16" t="str">
        <x:v>Avoid dynamic code evaluation and unsafe expression-language execution on user-controlled content.</x:v>
      </x:c>
      <x:c r="E136" s="16" t="str">
        <x:v>Run only with the documented prerequisites, approved scope and suitable specialist method; record method, version, limitations and reviewer disposition. Control objective: Avoid dynamic code evaluation and unsafe expression-language execution on user-controlled content.</x:v>
      </x:c>
      <x:c r="F136" s="16" t="str">
        <x:v>Reproducible test case, approved test account/environment, tool/version and reviewer validation.</x:v>
      </x:c>
      <x:c r="G136" s="16" t="str">
        <x:v>manual_or_specialist_tool</x:v>
      </x:c>
      <x:c r="H136" s="16" t="str">
        <x:v>P0</x:v>
      </x:c>
      <x:c r="I136" s="16" t="str">
        <x:v>core</x:v>
      </x:c>
      <x:c r="J136" s="16" t="str">
        <x:v>direct; supporting | direct; supporting</x:v>
      </x:c>
      <x:c r="K136" s="16" t="str">
        <x:v>OWASP_ASVS; OWASP_WSTG; OWASP_TOP10; OWASP_CHEATSHEETS; CWE_TOP25; CAPEC; OWASP_API</x:v>
      </x:c>
      <x:c r="L136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6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6" s="16" t="str">
        <x:v>not_assessed</x:v>
      </x:c>
      <x:c r="O136" s="16" t="str"/>
      <x:c r="P136" s="18" t="str"/>
      <x:c r="Q136" s="16" t="str"/>
      <x:c r="R136" s="16" t="str"/>
      <x:c r="S136" s="16" t="str"/>
      <x:c r="T136" s="18" t="str"/>
      <x:c r="U136" s="16" t="str"/>
      <x:c r="V136" s="16" t="n">
        <x:v>0</x:v>
      </x:c>
    </x:row>
    <x:row r="137">
      <x:c r="A137" s="16" t="str">
        <x:v>FWPRO-INPUT-017</x:v>
      </x:c>
      <x:c r="B137" s="16" t="str">
        <x:v>INPUT</x:v>
      </x:c>
      <x:c r="C137" s="16" t="str">
        <x:v>Input validation, output encoding and injection</x:v>
      </x:c>
      <x:c r="D137" s="16" t="str">
        <x:v>Review regular expressions and parsing logic for catastrophic backtracking or algorithmic complexity.</x:v>
      </x:c>
      <x:c r="E137" s="16" t="str">
        <x:v>Run only with the documented prerequisites, approved scope and suitable specialist method; record method, version, limitations and reviewer disposition. Control objective: Review regular expressions and parsing logic for catastrophic backtracking or algorithmic complexity.</x:v>
      </x:c>
      <x:c r="F137" s="16" t="str">
        <x:v>Reproducible test case, approved test account/environment, tool/version and reviewer validation.</x:v>
      </x:c>
      <x:c r="G137" s="16" t="str">
        <x:v>manual_or_specialist_tool</x:v>
      </x:c>
      <x:c r="H137" s="16" t="str">
        <x:v>P0</x:v>
      </x:c>
      <x:c r="I137" s="16" t="str">
        <x:v>core</x:v>
      </x:c>
      <x:c r="J137" s="16" t="str">
        <x:v>direct; supporting | direct; supporting</x:v>
      </x:c>
      <x:c r="K137" s="16" t="str">
        <x:v>OWASP_ASVS; OWASP_WSTG; OWASP_TOP10; OWASP_CHEATSHEETS; CWE_TOP25; CAPEC; OWASP_API</x:v>
      </x:c>
      <x:c r="L137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7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7" s="16" t="str">
        <x:v>not_assessed</x:v>
      </x:c>
      <x:c r="O137" s="16" t="str"/>
      <x:c r="P137" s="18" t="str"/>
      <x:c r="Q137" s="16" t="str"/>
      <x:c r="R137" s="16" t="str"/>
      <x:c r="S137" s="16" t="str"/>
      <x:c r="T137" s="18" t="str"/>
      <x:c r="U137" s="16" t="str"/>
      <x:c r="V137" s="16" t="n">
        <x:v>0</x:v>
      </x:c>
    </x:row>
    <x:row r="138">
      <x:c r="A138" s="16" t="str">
        <x:v>FWPRO-INPUT-018</x:v>
      </x:c>
      <x:c r="B138" s="16" t="str">
        <x:v>INPUT</x:v>
      </x:c>
      <x:c r="C138" s="16" t="str">
        <x:v>Input validation, output encoding and injection</x:v>
      </x:c>
      <x:c r="D138" s="16" t="str">
        <x:v>Test reflected parameter canaries as observations only; require safe context validation before declaring XSS.</x:v>
      </x:c>
      <x:c r="E138" s="16" t="str">
        <x:v>Run only with the documented prerequisites, approved scope and suitable specialist method; record method, version, limitations and reviewer disposition. Control objective: Test reflected parameter canaries as observations only; require safe context validation before declaring XSS.</x:v>
      </x:c>
      <x:c r="F138" s="16" t="str">
        <x:v>Reproducible test case, approved test account/environment, tool/version and reviewer validation.</x:v>
      </x:c>
      <x:c r="G138" s="16" t="str">
        <x:v>manual_or_specialist_tool</x:v>
      </x:c>
      <x:c r="H138" s="16" t="str">
        <x:v>P0</x:v>
      </x:c>
      <x:c r="I138" s="16" t="str">
        <x:v>core</x:v>
      </x:c>
      <x:c r="J138" s="16" t="str">
        <x:v>direct; supporting | direct; supporting</x:v>
      </x:c>
      <x:c r="K138" s="16" t="str">
        <x:v>OWASP_ASVS; OWASP_WSTG; OWASP_TOP10; OWASP_CHEATSHEETS; CWE_TOP25; CAPEC; OWASP_API</x:v>
      </x:c>
      <x:c r="L138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8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8" s="16" t="str">
        <x:v>not_assessed</x:v>
      </x:c>
      <x:c r="O138" s="16" t="str"/>
      <x:c r="P138" s="18" t="str"/>
      <x:c r="Q138" s="16" t="str"/>
      <x:c r="R138" s="16" t="str"/>
      <x:c r="S138" s="16" t="str"/>
      <x:c r="T138" s="18" t="str"/>
      <x:c r="U138" s="16" t="str"/>
      <x:c r="V138" s="16" t="n">
        <x:v>0</x:v>
      </x:c>
    </x:row>
    <x:row r="139">
      <x:c r="A139" s="16" t="str">
        <x:v>FWPRO-INPUT-019</x:v>
      </x:c>
      <x:c r="B139" s="16" t="str">
        <x:v>INPUT</x:v>
      </x:c>
      <x:c r="C139" s="16" t="str">
        <x:v>Input validation, output encoding and injection</x:v>
      </x:c>
      <x:c r="D139" s="16" t="str">
        <x:v>Confirm error messages do not echo raw dangerous input or secrets into executable output contexts.</x:v>
      </x:c>
      <x:c r="E139" s="16" t="str">
        <x:v>Run only with the documented prerequisites, approved scope and suitable specialist method; record method, version, limitations and reviewer disposition. Control objective: Confirm error messages do not echo raw dangerous input or secrets into executable output contexts.</x:v>
      </x:c>
      <x:c r="F139" s="16" t="str">
        <x:v>Reproducible test case, approved test account/environment, tool/version and reviewer validation.</x:v>
      </x:c>
      <x:c r="G139" s="16" t="str">
        <x:v>manual_or_specialist_tool</x:v>
      </x:c>
      <x:c r="H139" s="16" t="str">
        <x:v>P0</x:v>
      </x:c>
      <x:c r="I139" s="16" t="str">
        <x:v>core</x:v>
      </x:c>
      <x:c r="J139" s="16" t="str">
        <x:v>direct; supporting | direct; supporting</x:v>
      </x:c>
      <x:c r="K139" s="16" t="str">
        <x:v>OWASP_ASVS; OWASP_WSTG; OWASP_TOP10; OWASP_CHEATSHEETS; CWE_TOP25; CAPEC; OWASP_API</x:v>
      </x:c>
      <x:c r="L139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39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39" s="16" t="str">
        <x:v>not_assessed</x:v>
      </x:c>
      <x:c r="O139" s="16" t="str"/>
      <x:c r="P139" s="18" t="str"/>
      <x:c r="Q139" s="16" t="str"/>
      <x:c r="R139" s="16" t="str"/>
      <x:c r="S139" s="16" t="str"/>
      <x:c r="T139" s="18" t="str"/>
      <x:c r="U139" s="16" t="str"/>
      <x:c r="V139" s="16" t="n">
        <x:v>0</x:v>
      </x:c>
    </x:row>
    <x:row r="140">
      <x:c r="A140" s="16" t="str">
        <x:v>FWPRO-INPUT-020</x:v>
      </x:c>
      <x:c r="B140" s="16" t="str">
        <x:v>INPUT</x:v>
      </x:c>
      <x:c r="C140" s="16" t="str">
        <x:v>Input validation, output encoding and injection</x:v>
      </x:c>
      <x:c r="D140" s="16" t="str">
        <x:v>Record tests requiring active payloads as manual/specialist-tool tasks rather than silently claiming coverage.</x:v>
      </x:c>
      <x:c r="E140" s="16" t="str">
        <x:v>Run only with the documented prerequisites, approved scope and suitable specialist method; record method, version, limitations and reviewer disposition. Control objective: Record tests requiring active payloads as manual/specialist-tool tasks rather than silently claiming coverage.</x:v>
      </x:c>
      <x:c r="F140" s="16" t="str">
        <x:v>Reproducible test case, approved test account/environment, tool/version and reviewer validation.</x:v>
      </x:c>
      <x:c r="G140" s="16" t="str">
        <x:v>manual_or_specialist_tool</x:v>
      </x:c>
      <x:c r="H140" s="16" t="str">
        <x:v>P0</x:v>
      </x:c>
      <x:c r="I140" s="16" t="str">
        <x:v>core</x:v>
      </x:c>
      <x:c r="J140" s="16" t="str">
        <x:v>direct; supporting | direct; supporting</x:v>
      </x:c>
      <x:c r="K140" s="16" t="str">
        <x:v>OWASP_ASVS; OWASP_WSTG; OWASP_TOP10; OWASP_CHEATSHEETS; CWE_TOP25; CAPEC; OWASP_API</x:v>
      </x:c>
      <x:c r="L140" s="16" t="str">
        <x:v>OWASP Application Security Verification Standard (5.0.0 (stable)); OWASP Web Security Testing Guide (v4.2 (current stable)); OWASP Top 10 (2025 (released)); OWASP Cheat Sheet Series (Rolling community guidance); MITRE CWE Top 25 (2025); MITRE CAPEC (Current catalog); OWASP API Security Top 10 (2023)</x:v>
      </x:c>
      <x:c r="M140" s="16" t="str">
        <x:v>https://owasp.org/www-project-application-security-verification-standard/; https://owasp.org/www-project-web-security-testing-guide/v42/; https://owasp.org/projects/top-ten; https://cheatsheetseries.owasp.org/; https://cwe.mitre.org/top25/archive/2025/2025_cwe_top25; https://capec.mitre.org/; https://owasp.org/www-project-api-security/</x:v>
      </x:c>
      <x:c r="N140" s="16" t="str">
        <x:v>not_assessed</x:v>
      </x:c>
      <x:c r="O140" s="16" t="str"/>
      <x:c r="P140" s="18" t="str"/>
      <x:c r="Q140" s="16" t="str"/>
      <x:c r="R140" s="16" t="str"/>
      <x:c r="S140" s="16" t="str"/>
      <x:c r="T140" s="18" t="str"/>
      <x:c r="U140" s="16" t="str"/>
      <x:c r="V140" s="16" t="n">
        <x:v>0</x:v>
      </x:c>
    </x:row>
    <x:row r="141">
      <x:c r="A141" s="16" t="str">
        <x:v>FWPRO-API-001</x:v>
      </x:c>
      <x:c r="B141" s="16" t="str">
        <x:v>API</x:v>
      </x:c>
      <x:c r="C141" s="16" t="str">
        <x:v>API contracts, REST, GraphQL and RPC</x:v>
      </x:c>
      <x:c r="D141" s="16" t="str">
        <x:v>Maintain an authoritative API inventory with owners, versions, environments and deprecation state.</x:v>
      </x:c>
      <x:c r="E141" s="16" t="str">
        <x:v>A repeatable, bounded check produces current sanitized evidence for this control, or explicitly marks it blocked/not-tested. Finding absence alone is not proof of compliance. Control objective: Maintain an authoritative API inventory with owners, versions, environments and deprecation state.</x:v>
      </x:c>
      <x:c r="F141" s="16" t="str">
        <x:v>Bounded read-only request/response comparison, sanitized evidence and request/response identifiers.</x:v>
      </x:c>
      <x:c r="G141" s="16" t="str">
        <x:v>automated_readonly</x:v>
      </x:c>
      <x:c r="H141" s="16" t="str">
        <x:v>P0</x:v>
      </x:c>
      <x:c r="I141" s="16" t="str">
        <x:v>core</x:v>
      </x:c>
      <x:c r="J141" s="16" t="str">
        <x:v>direct; supporting | direct; supporting</x:v>
      </x:c>
      <x:c r="K141" s="16" t="str">
        <x:v>OWASP_API; OWASP_ASVS; OWASP_WSTG; OPENAPI; JSON_SCHEMA; HTTP_RFC9110; OWASP_TOP10; CWE_TOP25</x:v>
      </x:c>
      <x:c r="L141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1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1" s="16" t="str">
        <x:v>not_assessed</x:v>
      </x:c>
      <x:c r="O141" s="16" t="str"/>
      <x:c r="P141" s="18" t="str"/>
      <x:c r="Q141" s="16" t="str"/>
      <x:c r="R141" s="16" t="str"/>
      <x:c r="S141" s="16" t="str"/>
      <x:c r="T141" s="18" t="str"/>
      <x:c r="U141" s="16" t="str"/>
      <x:c r="V141" s="16" t="n">
        <x:v>0</x:v>
      </x:c>
    </x:row>
    <x:row r="142">
      <x:c r="A142" s="16" t="str">
        <x:v>FWPRO-API-002</x:v>
      </x:c>
      <x:c r="B142" s="16" t="str">
        <x:v>API</x:v>
      </x:c>
      <x:c r="C142" s="16" t="str">
        <x:v>API contracts, REST, GraphQL and RPC</x:v>
      </x:c>
      <x:c r="D142" s="16" t="str">
        <x:v>Validate OpenAPI documents against the declared supported specification version and schema.</x:v>
      </x:c>
      <x:c r="E142" s="16" t="str">
        <x:v>A repeatable, bounded check produces current sanitized evidence for this control, or explicitly marks it blocked/not-tested. Finding absence alone is not proof of compliance. Control objective: Validate OpenAPI documents against the declared supported specification version and schema.</x:v>
      </x:c>
      <x:c r="F142" s="16" t="str">
        <x:v>Bounded read-only request/response comparison, sanitized evidence and request/response identifiers.</x:v>
      </x:c>
      <x:c r="G142" s="16" t="str">
        <x:v>automated_readonly</x:v>
      </x:c>
      <x:c r="H142" s="16" t="str">
        <x:v>P0</x:v>
      </x:c>
      <x:c r="I142" s="16" t="str">
        <x:v>core</x:v>
      </x:c>
      <x:c r="J142" s="16" t="str">
        <x:v>direct; supporting | direct; supporting</x:v>
      </x:c>
      <x:c r="K142" s="16" t="str">
        <x:v>OWASP_API; OWASP_ASVS; OWASP_WSTG; OPENAPI; JSON_SCHEMA; HTTP_RFC9110; OWASP_TOP10; CWE_TOP25</x:v>
      </x:c>
      <x:c r="L142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2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2" s="16" t="str">
        <x:v>not_assessed</x:v>
      </x:c>
      <x:c r="O142" s="16" t="str"/>
      <x:c r="P142" s="18" t="str"/>
      <x:c r="Q142" s="16" t="str"/>
      <x:c r="R142" s="16" t="str"/>
      <x:c r="S142" s="16" t="str"/>
      <x:c r="T142" s="18" t="str"/>
      <x:c r="U142" s="16" t="str"/>
      <x:c r="V142" s="16" t="n">
        <x:v>0</x:v>
      </x:c>
    </x:row>
    <x:row r="143">
      <x:c r="A143" s="16" t="str">
        <x:v>FWPRO-API-003</x:v>
      </x:c>
      <x:c r="B143" s="16" t="str">
        <x:v>API</x:v>
      </x:c>
      <x:c r="C143" s="16" t="str">
        <x:v>API contracts, REST, GraphQL and RPC</x:v>
      </x:c>
      <x:c r="D143" s="16" t="str">
        <x:v>Declare authentication and security requirements at the appropriate API/operation levels.</x:v>
      </x:c>
      <x:c r="E143" s="16" t="str">
        <x:v>A repeatable, bounded check produces current sanitized evidence for this control, or explicitly marks it blocked/not-tested. Finding absence alone is not proof of compliance. Control objective: Declare authentication and security requirements at the appropriate API/operation levels.</x:v>
      </x:c>
      <x:c r="F143" s="16" t="str">
        <x:v>Bounded read-only request/response comparison, sanitized evidence and request/response identifiers.</x:v>
      </x:c>
      <x:c r="G143" s="16" t="str">
        <x:v>automated_readonly</x:v>
      </x:c>
      <x:c r="H143" s="16" t="str">
        <x:v>P0</x:v>
      </x:c>
      <x:c r="I143" s="16" t="str">
        <x:v>core</x:v>
      </x:c>
      <x:c r="J143" s="16" t="str">
        <x:v>direct; supporting | direct; supporting</x:v>
      </x:c>
      <x:c r="K143" s="16" t="str">
        <x:v>OWASP_API; OWASP_ASVS; OWASP_WSTG; OPENAPI; JSON_SCHEMA; HTTP_RFC9110; OWASP_TOP10; CWE_TOP25</x:v>
      </x:c>
      <x:c r="L143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3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3" s="16" t="str">
        <x:v>not_assessed</x:v>
      </x:c>
      <x:c r="O143" s="16" t="str"/>
      <x:c r="P143" s="18" t="str"/>
      <x:c r="Q143" s="16" t="str"/>
      <x:c r="R143" s="16" t="str"/>
      <x:c r="S143" s="16" t="str"/>
      <x:c r="T143" s="18" t="str"/>
      <x:c r="U143" s="16" t="str"/>
      <x:c r="V143" s="16" t="n">
        <x:v>0</x:v>
      </x:c>
    </x:row>
    <x:row r="144">
      <x:c r="A144" s="16" t="str">
        <x:v>FWPRO-API-004</x:v>
      </x:c>
      <x:c r="B144" s="16" t="str">
        <x:v>API</x:v>
      </x:c>
      <x:c r="C144" s="16" t="str">
        <x:v>API contracts, REST, GraphQL and RPC</x:v>
      </x:c>
      <x:c r="D144" s="16" t="str">
        <x:v>Check for operations accidentally marked public where authentication is expected.</x:v>
      </x:c>
      <x:c r="E144" s="16" t="str">
        <x:v>A repeatable, bounded check produces current sanitized evidence for this control, or explicitly marks it blocked/not-tested. Finding absence alone is not proof of compliance. Control objective: Check for operations accidentally marked public where authentication is expected.</x:v>
      </x:c>
      <x:c r="F144" s="16" t="str">
        <x:v>Bounded read-only request/response comparison, sanitized evidence and request/response identifiers.</x:v>
      </x:c>
      <x:c r="G144" s="16" t="str">
        <x:v>automated_readonly</x:v>
      </x:c>
      <x:c r="H144" s="16" t="str">
        <x:v>P0</x:v>
      </x:c>
      <x:c r="I144" s="16" t="str">
        <x:v>core</x:v>
      </x:c>
      <x:c r="J144" s="16" t="str">
        <x:v>direct; supporting | direct; supporting</x:v>
      </x:c>
      <x:c r="K144" s="16" t="str">
        <x:v>OWASP_API; OWASP_ASVS; OWASP_WSTG; OPENAPI; JSON_SCHEMA; HTTP_RFC9110; OWASP_TOP10; CWE_TOP25</x:v>
      </x:c>
      <x:c r="L144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4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4" s="16" t="str">
        <x:v>not_assessed</x:v>
      </x:c>
      <x:c r="O144" s="16" t="str"/>
      <x:c r="P144" s="18" t="str"/>
      <x:c r="Q144" s="16" t="str"/>
      <x:c r="R144" s="16" t="str"/>
      <x:c r="S144" s="16" t="str"/>
      <x:c r="T144" s="18" t="str"/>
      <x:c r="U144" s="16" t="str"/>
      <x:c r="V144" s="16" t="n">
        <x:v>0</x:v>
      </x:c>
    </x:row>
    <x:row r="145">
      <x:c r="A145" s="16" t="str">
        <x:v>FWPRO-API-005</x:v>
      </x:c>
      <x:c r="B145" s="16" t="str">
        <x:v>API</x:v>
      </x:c>
      <x:c r="C145" s="16" t="str">
        <x:v>API contracts, REST, GraphQL and RPC</x:v>
      </x:c>
      <x:c r="D145" s="16" t="str">
        <x:v>Document request and response schemas, constraints, error formats and sensitive fields.</x:v>
      </x:c>
      <x:c r="E145" s="16" t="str">
        <x:v>A repeatable, bounded check produces current sanitized evidence for this control, or explicitly marks it blocked/not-tested. Finding absence alone is not proof of compliance. Control objective: Document request and response schemas, constraints, error formats and sensitive fields.</x:v>
      </x:c>
      <x:c r="F145" s="16" t="str">
        <x:v>Bounded read-only request/response comparison, sanitized evidence and request/response identifiers.</x:v>
      </x:c>
      <x:c r="G145" s="16" t="str">
        <x:v>automated_readonly</x:v>
      </x:c>
      <x:c r="H145" s="16" t="str">
        <x:v>P0</x:v>
      </x:c>
      <x:c r="I145" s="16" t="str">
        <x:v>core</x:v>
      </x:c>
      <x:c r="J145" s="16" t="str">
        <x:v>direct; supporting | direct; supporting</x:v>
      </x:c>
      <x:c r="K145" s="16" t="str">
        <x:v>OWASP_API; OWASP_ASVS; OWASP_WSTG; OPENAPI; JSON_SCHEMA; HTTP_RFC9110; OWASP_TOP10; CWE_TOP25</x:v>
      </x:c>
      <x:c r="L145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5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5" s="16" t="str">
        <x:v>not_assessed</x:v>
      </x:c>
      <x:c r="O145" s="16" t="str"/>
      <x:c r="P145" s="18" t="str"/>
      <x:c r="Q145" s="16" t="str"/>
      <x:c r="R145" s="16" t="str"/>
      <x:c r="S145" s="16" t="str"/>
      <x:c r="T145" s="18" t="str"/>
      <x:c r="U145" s="16" t="str"/>
      <x:c r="V145" s="16" t="n">
        <x:v>0</x:v>
      </x:c>
    </x:row>
    <x:row r="146">
      <x:c r="A146" s="16" t="str">
        <x:v>FWPRO-API-006</x:v>
      </x:c>
      <x:c r="B146" s="16" t="str">
        <x:v>API</x:v>
      </x:c>
      <x:c r="C146" s="16" t="str">
        <x:v>API contracts, REST, GraphQL and RPC</x:v>
      </x:c>
      <x:c r="D146" s="16" t="str">
        <x:v>Apply object-level authorization to endpoints accepting object identifiers.</x:v>
      </x:c>
      <x:c r="E146" s="16" t="str">
        <x:v>A repeatable, bounded check produces current sanitized evidence for this control, or explicitly marks it blocked/not-tested. Finding absence alone is not proof of compliance. Control objective: Apply object-level authorization to endpoints accepting object identifiers.</x:v>
      </x:c>
      <x:c r="F146" s="16" t="str">
        <x:v>Bounded read-only request/response comparison, sanitized evidence and request/response identifiers.</x:v>
      </x:c>
      <x:c r="G146" s="16" t="str">
        <x:v>automated_readonly</x:v>
      </x:c>
      <x:c r="H146" s="16" t="str">
        <x:v>P0</x:v>
      </x:c>
      <x:c r="I146" s="16" t="str">
        <x:v>core</x:v>
      </x:c>
      <x:c r="J146" s="16" t="str">
        <x:v>direct; supporting | direct; supporting</x:v>
      </x:c>
      <x:c r="K146" s="16" t="str">
        <x:v>OWASP_API; OWASP_ASVS; OWASP_WSTG; OPENAPI; JSON_SCHEMA; HTTP_RFC9110; OWASP_TOP10; CWE_TOP25</x:v>
      </x:c>
      <x:c r="L146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6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6" s="16" t="str">
        <x:v>not_assessed</x:v>
      </x:c>
      <x:c r="O146" s="16" t="str"/>
      <x:c r="P146" s="18" t="str"/>
      <x:c r="Q146" s="16" t="str"/>
      <x:c r="R146" s="16" t="str"/>
      <x:c r="S146" s="16" t="str"/>
      <x:c r="T146" s="18" t="str"/>
      <x:c r="U146" s="16" t="str"/>
      <x:c r="V146" s="16" t="n">
        <x:v>0</x:v>
      </x:c>
    </x:row>
    <x:row r="147">
      <x:c r="A147" s="16" t="str">
        <x:v>FWPRO-API-007</x:v>
      </x:c>
      <x:c r="B147" s="16" t="str">
        <x:v>API</x:v>
      </x:c>
      <x:c r="C147" s="16" t="str">
        <x:v>API contracts, REST, GraphQL and RPC</x:v>
      </x:c>
      <x:c r="D147" s="16" t="str">
        <x:v>Apply function-level and property-level authorization to API operations and data fields.</x:v>
      </x:c>
      <x:c r="E147" s="16" t="str">
        <x:v>A repeatable, bounded check produces current sanitized evidence for this control, or explicitly marks it blocked/not-tested. Finding absence alone is not proof of compliance. Control objective: Apply function-level and property-level authorization to API operations and data fields.</x:v>
      </x:c>
      <x:c r="F147" s="16" t="str">
        <x:v>Bounded read-only request/response comparison, sanitized evidence and request/response identifiers.</x:v>
      </x:c>
      <x:c r="G147" s="16" t="str">
        <x:v>automated_readonly</x:v>
      </x:c>
      <x:c r="H147" s="16" t="str">
        <x:v>P0</x:v>
      </x:c>
      <x:c r="I147" s="16" t="str">
        <x:v>core</x:v>
      </x:c>
      <x:c r="J147" s="16" t="str">
        <x:v>direct; supporting | direct; supporting</x:v>
      </x:c>
      <x:c r="K147" s="16" t="str">
        <x:v>OWASP_API; OWASP_ASVS; OWASP_WSTG; OPENAPI; JSON_SCHEMA; HTTP_RFC9110; OWASP_TOP10; CWE_TOP25</x:v>
      </x:c>
      <x:c r="L147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7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7" s="16" t="str">
        <x:v>not_assessed</x:v>
      </x:c>
      <x:c r="O147" s="16" t="str"/>
      <x:c r="P147" s="18" t="str"/>
      <x:c r="Q147" s="16" t="str"/>
      <x:c r="R147" s="16" t="str"/>
      <x:c r="S147" s="16" t="str"/>
      <x:c r="T147" s="18" t="str"/>
      <x:c r="U147" s="16" t="str"/>
      <x:c r="V147" s="16" t="n">
        <x:v>0</x:v>
      </x:c>
    </x:row>
    <x:row r="148">
      <x:c r="A148" s="16" t="str">
        <x:v>FWPRO-API-008</x:v>
      </x:c>
      <x:c r="B148" s="16" t="str">
        <x:v>API</x:v>
      </x:c>
      <x:c r="C148" s="16" t="str">
        <x:v>API contracts, REST, GraphQL and RPC</x:v>
      </x:c>
      <x:c r="D148" s="16" t="str">
        <x:v>Limit page size, batch count, query complexity, upload size and expensive operations.</x:v>
      </x:c>
      <x:c r="E148" s="16" t="str">
        <x:v>A repeatable, bounded check produces current sanitized evidence for this control, or explicitly marks it blocked/not-tested. Finding absence alone is not proof of compliance. Control objective: Limit page size, batch count, query complexity, upload size and expensive operations.</x:v>
      </x:c>
      <x:c r="F148" s="16" t="str">
        <x:v>Bounded read-only request/response comparison, sanitized evidence and request/response identifiers.</x:v>
      </x:c>
      <x:c r="G148" s="16" t="str">
        <x:v>automated_readonly</x:v>
      </x:c>
      <x:c r="H148" s="16" t="str">
        <x:v>P0</x:v>
      </x:c>
      <x:c r="I148" s="16" t="str">
        <x:v>core</x:v>
      </x:c>
      <x:c r="J148" s="16" t="str">
        <x:v>direct; supporting | direct; supporting</x:v>
      </x:c>
      <x:c r="K148" s="16" t="str">
        <x:v>OWASP_API; OWASP_ASVS; OWASP_WSTG; OPENAPI; JSON_SCHEMA; HTTP_RFC9110; OWASP_TOP10; CWE_TOP25</x:v>
      </x:c>
      <x:c r="L148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8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8" s="16" t="str">
        <x:v>not_assessed</x:v>
      </x:c>
      <x:c r="O148" s="16" t="str"/>
      <x:c r="P148" s="18" t="str"/>
      <x:c r="Q148" s="16" t="str"/>
      <x:c r="R148" s="16" t="str"/>
      <x:c r="S148" s="16" t="str"/>
      <x:c r="T148" s="18" t="str"/>
      <x:c r="U148" s="16" t="str"/>
      <x:c r="V148" s="16" t="n">
        <x:v>0</x:v>
      </x:c>
    </x:row>
    <x:row r="149">
      <x:c r="A149" s="16" t="str">
        <x:v>FWPRO-API-009</x:v>
      </x:c>
      <x:c r="B149" s="16" t="str">
        <x:v>API</x:v>
      </x:c>
      <x:c r="C149" s="16" t="str">
        <x:v>API contracts, REST, GraphQL and RPC</x:v>
      </x:c>
      <x:c r="D149" s="16" t="str">
        <x:v>Use quotas/rate limits and abuse protections for business-sensitive or expensive API workflows.</x:v>
      </x:c>
      <x:c r="E149" s="16" t="str">
        <x:v>A repeatable, bounded check produces current sanitized evidence for this control, or explicitly marks it blocked/not-tested. Finding absence alone is not proof of compliance. Control objective: Use quotas/rate limits and abuse protections for business-sensitive or expensive API workflows.</x:v>
      </x:c>
      <x:c r="F149" s="16" t="str">
        <x:v>Bounded read-only request/response comparison, sanitized evidence and request/response identifiers.</x:v>
      </x:c>
      <x:c r="G149" s="16" t="str">
        <x:v>automated_readonly</x:v>
      </x:c>
      <x:c r="H149" s="16" t="str">
        <x:v>P0</x:v>
      </x:c>
      <x:c r="I149" s="16" t="str">
        <x:v>core</x:v>
      </x:c>
      <x:c r="J149" s="16" t="str">
        <x:v>direct; supporting | direct; supporting</x:v>
      </x:c>
      <x:c r="K149" s="16" t="str">
        <x:v>OWASP_API; OWASP_ASVS; OWASP_WSTG; OPENAPI; JSON_SCHEMA; HTTP_RFC9110; OWASP_TOP10; CWE_TOP25</x:v>
      </x:c>
      <x:c r="L149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49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49" s="16" t="str">
        <x:v>not_assessed</x:v>
      </x:c>
      <x:c r="O149" s="16" t="str"/>
      <x:c r="P149" s="18" t="str"/>
      <x:c r="Q149" s="16" t="str"/>
      <x:c r="R149" s="16" t="str"/>
      <x:c r="S149" s="16" t="str"/>
      <x:c r="T149" s="18" t="str"/>
      <x:c r="U149" s="16" t="str"/>
      <x:c r="V149" s="16" t="n">
        <x:v>0</x:v>
      </x:c>
    </x:row>
    <x:row r="150">
      <x:c r="A150" s="16" t="str">
        <x:v>FWPRO-API-010</x:v>
      </x:c>
      <x:c r="B150" s="16" t="str">
        <x:v>API</x:v>
      </x:c>
      <x:c r="C150" s="16" t="str">
        <x:v>API contracts, REST, GraphQL and RPC</x:v>
      </x:c>
      <x:c r="D150" s="16" t="str">
        <x:v>Disable or restrict introspection/schema exploration according to documented GraphQL policy.</x:v>
      </x:c>
      <x:c r="E150" s="16" t="str">
        <x:v>A repeatable, bounded check produces current sanitized evidence for this control, or explicitly marks it blocked/not-tested. Finding absence alone is not proof of compliance. Control objective: Disable or restrict introspection/schema exploration according to documented GraphQL policy.</x:v>
      </x:c>
      <x:c r="F150" s="16" t="str">
        <x:v>Bounded read-only request/response comparison, sanitized evidence and request/response identifiers.</x:v>
      </x:c>
      <x:c r="G150" s="16" t="str">
        <x:v>automated_readonly</x:v>
      </x:c>
      <x:c r="H150" s="16" t="str">
        <x:v>P0</x:v>
      </x:c>
      <x:c r="I150" s="16" t="str">
        <x:v>core</x:v>
      </x:c>
      <x:c r="J150" s="16" t="str">
        <x:v>direct; supporting | direct; supporting</x:v>
      </x:c>
      <x:c r="K150" s="16" t="str">
        <x:v>OWASP_API; OWASP_ASVS; OWASP_WSTG; OPENAPI; JSON_SCHEMA; HTTP_RFC9110; OWASP_TOP10; CWE_TOP25</x:v>
      </x:c>
      <x:c r="L150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0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0" s="16" t="str">
        <x:v>not_assessed</x:v>
      </x:c>
      <x:c r="O150" s="16" t="str"/>
      <x:c r="P150" s="18" t="str"/>
      <x:c r="Q150" s="16" t="str"/>
      <x:c r="R150" s="16" t="str"/>
      <x:c r="S150" s="16" t="str"/>
      <x:c r="T150" s="18" t="str"/>
      <x:c r="U150" s="16" t="str"/>
      <x:c r="V150" s="16" t="n">
        <x:v>0</x:v>
      </x:c>
    </x:row>
    <x:row r="151">
      <x:c r="A151" s="16" t="str">
        <x:v>FWPRO-API-011</x:v>
      </x:c>
      <x:c r="B151" s="16" t="str">
        <x:v>API</x:v>
      </x:c>
      <x:c r="C151" s="16" t="str">
        <x:v>API contracts, REST, GraphQL and RPC</x:v>
      </x:c>
      <x:c r="D151" s="16" t="str">
        <x:v>Control GraphQL depth, alias count, batching and query cost when exposed to untrusted clients.</x:v>
      </x:c>
      <x:c r="E151" s="16" t="str">
        <x:v>A repeatable, bounded check produces current sanitized evidence for this control, or explicitly marks it blocked/not-tested. Finding absence alone is not proof of compliance. Control objective: Control GraphQL depth, alias count, batching and query cost when exposed to untrusted clients.</x:v>
      </x:c>
      <x:c r="F151" s="16" t="str">
        <x:v>Bounded read-only request/response comparison, sanitized evidence and request/response identifiers.</x:v>
      </x:c>
      <x:c r="G151" s="16" t="str">
        <x:v>automated_readonly</x:v>
      </x:c>
      <x:c r="H151" s="16" t="str">
        <x:v>P0</x:v>
      </x:c>
      <x:c r="I151" s="16" t="str">
        <x:v>core</x:v>
      </x:c>
      <x:c r="J151" s="16" t="str">
        <x:v>direct; supporting | direct; supporting</x:v>
      </x:c>
      <x:c r="K151" s="16" t="str">
        <x:v>OWASP_API; OWASP_ASVS; OWASP_WSTG; OPENAPI; JSON_SCHEMA; HTTP_RFC9110; OWASP_TOP10; CWE_TOP25</x:v>
      </x:c>
      <x:c r="L151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1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1" s="16" t="str">
        <x:v>not_assessed</x:v>
      </x:c>
      <x:c r="O151" s="16" t="str"/>
      <x:c r="P151" s="18" t="str"/>
      <x:c r="Q151" s="16" t="str"/>
      <x:c r="R151" s="16" t="str"/>
      <x:c r="S151" s="16" t="str"/>
      <x:c r="T151" s="18" t="str"/>
      <x:c r="U151" s="16" t="str"/>
      <x:c r="V151" s="16" t="n">
        <x:v>0</x:v>
      </x:c>
    </x:row>
    <x:row r="152">
      <x:c r="A152" s="16" t="str">
        <x:v>FWPRO-API-012</x:v>
      </x:c>
      <x:c r="B152" s="16" t="str">
        <x:v>API</x:v>
      </x:c>
      <x:c r="C152" s="16" t="str">
        <x:v>API contracts, REST, GraphQL and RPC</x:v>
      </x:c>
      <x:c r="D152" s="16" t="str">
        <x:v>Validate GraphQL resolver authorization independently of schema visibility.</x:v>
      </x:c>
      <x:c r="E152" s="16" t="str">
        <x:v>A repeatable, bounded check produces current sanitized evidence for this control, or explicitly marks it blocked/not-tested. Finding absence alone is not proof of compliance. Control objective: Validate GraphQL resolver authorization independently of schema visibility.</x:v>
      </x:c>
      <x:c r="F152" s="16" t="str">
        <x:v>Bounded read-only request/response comparison, sanitized evidence and request/response identifiers.</x:v>
      </x:c>
      <x:c r="G152" s="16" t="str">
        <x:v>automated_readonly</x:v>
      </x:c>
      <x:c r="H152" s="16" t="str">
        <x:v>P0</x:v>
      </x:c>
      <x:c r="I152" s="16" t="str">
        <x:v>core</x:v>
      </x:c>
      <x:c r="J152" s="16" t="str">
        <x:v>direct; supporting | direct; supporting</x:v>
      </x:c>
      <x:c r="K152" s="16" t="str">
        <x:v>OWASP_API; OWASP_ASVS; OWASP_WSTG; OPENAPI; JSON_SCHEMA; HTTP_RFC9110; OWASP_TOP10; CWE_TOP25</x:v>
      </x:c>
      <x:c r="L152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2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2" s="16" t="str">
        <x:v>not_assessed</x:v>
      </x:c>
      <x:c r="O152" s="16" t="str"/>
      <x:c r="P152" s="18" t="str"/>
      <x:c r="Q152" s="16" t="str"/>
      <x:c r="R152" s="16" t="str"/>
      <x:c r="S152" s="16" t="str"/>
      <x:c r="T152" s="18" t="str"/>
      <x:c r="U152" s="16" t="str"/>
      <x:c r="V152" s="16" t="n">
        <x:v>0</x:v>
      </x:c>
    </x:row>
    <x:row r="153">
      <x:c r="A153" s="16" t="str">
        <x:v>FWPRO-API-013</x:v>
      </x:c>
      <x:c r="B153" s="16" t="str">
        <x:v>API</x:v>
      </x:c>
      <x:c r="C153" s="16" t="str">
        <x:v>API contracts, REST, GraphQL and RPC</x:v>
      </x:c>
      <x:c r="D153" s="16" t="str">
        <x:v>Authenticate and authorize WebSocket, SSE, gRPC and other non-REST channels where present.</x:v>
      </x:c>
      <x:c r="E153" s="16" t="str">
        <x:v>A repeatable, bounded check produces current sanitized evidence for this control, or explicitly marks it blocked/not-tested. Finding absence alone is not proof of compliance. Control objective: Authenticate and authorize WebSocket, SSE, gRPC and other non-REST channels where present.</x:v>
      </x:c>
      <x:c r="F153" s="16" t="str">
        <x:v>Bounded read-only request/response comparison, sanitized evidence and request/response identifiers.</x:v>
      </x:c>
      <x:c r="G153" s="16" t="str">
        <x:v>automated_readonly</x:v>
      </x:c>
      <x:c r="H153" s="16" t="str">
        <x:v>P0</x:v>
      </x:c>
      <x:c r="I153" s="16" t="str">
        <x:v>core</x:v>
      </x:c>
      <x:c r="J153" s="16" t="str">
        <x:v>direct; supporting | direct; supporting</x:v>
      </x:c>
      <x:c r="K153" s="16" t="str">
        <x:v>OWASP_API; OWASP_ASVS; OWASP_WSTG; OPENAPI; JSON_SCHEMA; HTTP_RFC9110; OWASP_TOP10; CWE_TOP25</x:v>
      </x:c>
      <x:c r="L153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3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3" s="16" t="str">
        <x:v>not_assessed</x:v>
      </x:c>
      <x:c r="O153" s="16" t="str"/>
      <x:c r="P153" s="18" t="str"/>
      <x:c r="Q153" s="16" t="str"/>
      <x:c r="R153" s="16" t="str"/>
      <x:c r="S153" s="16" t="str"/>
      <x:c r="T153" s="18" t="str"/>
      <x:c r="U153" s="16" t="str"/>
      <x:c r="V153" s="16" t="n">
        <x:v>0</x:v>
      </x:c>
    </x:row>
    <x:row r="154">
      <x:c r="A154" s="16" t="str">
        <x:v>FWPRO-API-014</x:v>
      </x:c>
      <x:c r="B154" s="16" t="str">
        <x:v>API</x:v>
      </x:c>
      <x:c r="C154" s="16" t="str">
        <x:v>API contracts, REST, GraphQL and RPC</x:v>
      </x:c>
      <x:c r="D154" s="16" t="str">
        <x:v>Handle content types, methods, CORS preflight and unsupported methods consistently.</x:v>
      </x:c>
      <x:c r="E154" s="16" t="str">
        <x:v>A repeatable, bounded check produces current sanitized evidence for this control, or explicitly marks it blocked/not-tested. Finding absence alone is not proof of compliance. Control objective: Handle content types, methods, CORS preflight and unsupported methods consistently.</x:v>
      </x:c>
      <x:c r="F154" s="16" t="str">
        <x:v>Bounded read-only request/response comparison, sanitized evidence and request/response identifiers.</x:v>
      </x:c>
      <x:c r="G154" s="16" t="str">
        <x:v>automated_readonly</x:v>
      </x:c>
      <x:c r="H154" s="16" t="str">
        <x:v>P0</x:v>
      </x:c>
      <x:c r="I154" s="16" t="str">
        <x:v>core</x:v>
      </x:c>
      <x:c r="J154" s="16" t="str">
        <x:v>direct; supporting | direct; supporting</x:v>
      </x:c>
      <x:c r="K154" s="16" t="str">
        <x:v>OWASP_API; OWASP_ASVS; OWASP_WSTG; OPENAPI; JSON_SCHEMA; HTTP_RFC9110; OWASP_TOP10; CWE_TOP25</x:v>
      </x:c>
      <x:c r="L154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4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4" s="16" t="str">
        <x:v>not_assessed</x:v>
      </x:c>
      <x:c r="O154" s="16" t="str"/>
      <x:c r="P154" s="18" t="str"/>
      <x:c r="Q154" s="16" t="str"/>
      <x:c r="R154" s="16" t="str"/>
      <x:c r="S154" s="16" t="str"/>
      <x:c r="T154" s="18" t="str"/>
      <x:c r="U154" s="16" t="str"/>
      <x:c r="V154" s="16" t="n">
        <x:v>0</x:v>
      </x:c>
    </x:row>
    <x:row r="155">
      <x:c r="A155" s="16" t="str">
        <x:v>FWPRO-API-015</x:v>
      </x:c>
      <x:c r="B155" s="16" t="str">
        <x:v>API</x:v>
      </x:c>
      <x:c r="C155" s="16" t="str">
        <x:v>API contracts, REST, GraphQL and RPC</x:v>
      </x:c>
      <x:c r="D155" s="16" t="str">
        <x:v>Prevent undocumented debug, legacy and shadow API versions from remaining unnecessarily accessible.</x:v>
      </x:c>
      <x:c r="E155" s="16" t="str">
        <x:v>A repeatable, bounded check produces current sanitized evidence for this control, or explicitly marks it blocked/not-tested. Finding absence alone is not proof of compliance. Control objective: Prevent undocumented debug, legacy and shadow API versions from remaining unnecessarily accessible.</x:v>
      </x:c>
      <x:c r="F155" s="16" t="str">
        <x:v>Bounded read-only request/response comparison, sanitized evidence and request/response identifiers.</x:v>
      </x:c>
      <x:c r="G155" s="16" t="str">
        <x:v>automated_readonly</x:v>
      </x:c>
      <x:c r="H155" s="16" t="str">
        <x:v>P0</x:v>
      </x:c>
      <x:c r="I155" s="16" t="str">
        <x:v>core</x:v>
      </x:c>
      <x:c r="J155" s="16" t="str">
        <x:v>direct; supporting | direct; supporting</x:v>
      </x:c>
      <x:c r="K155" s="16" t="str">
        <x:v>OWASP_API; OWASP_ASVS; OWASP_WSTG; OPENAPI; JSON_SCHEMA; HTTP_RFC9110; OWASP_TOP10; CWE_TOP25</x:v>
      </x:c>
      <x:c r="L155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5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5" s="16" t="str">
        <x:v>not_assessed</x:v>
      </x:c>
      <x:c r="O155" s="16" t="str"/>
      <x:c r="P155" s="18" t="str"/>
      <x:c r="Q155" s="16" t="str"/>
      <x:c r="R155" s="16" t="str"/>
      <x:c r="S155" s="16" t="str"/>
      <x:c r="T155" s="18" t="str"/>
      <x:c r="U155" s="16" t="str"/>
      <x:c r="V155" s="16" t="n">
        <x:v>0</x:v>
      </x:c>
    </x:row>
    <x:row r="156">
      <x:c r="A156" s="16" t="str">
        <x:v>FWPRO-API-016</x:v>
      </x:c>
      <x:c r="B156" s="16" t="str">
        <x:v>API</x:v>
      </x:c>
      <x:c r="C156" s="16" t="str">
        <x:v>API contracts, REST, GraphQL and RPC</x:v>
      </x:c>
      <x:c r="D156" s="16" t="str">
        <x:v>Validate webhook signatures, replay windows, source authenticity and event authorization.</x:v>
      </x:c>
      <x:c r="E156" s="16" t="str">
        <x:v>A repeatable, bounded check produces current sanitized evidence for this control, or explicitly marks it blocked/not-tested. Finding absence alone is not proof of compliance. Control objective: Validate webhook signatures, replay windows, source authenticity and event authorization.</x:v>
      </x:c>
      <x:c r="F156" s="16" t="str">
        <x:v>Bounded read-only request/response comparison, sanitized evidence and request/response identifiers.</x:v>
      </x:c>
      <x:c r="G156" s="16" t="str">
        <x:v>automated_readonly</x:v>
      </x:c>
      <x:c r="H156" s="16" t="str">
        <x:v>P0</x:v>
      </x:c>
      <x:c r="I156" s="16" t="str">
        <x:v>core</x:v>
      </x:c>
      <x:c r="J156" s="16" t="str">
        <x:v>direct; supporting | direct; supporting</x:v>
      </x:c>
      <x:c r="K156" s="16" t="str">
        <x:v>OWASP_API; OWASP_ASVS; OWASP_WSTG; OPENAPI; JSON_SCHEMA; HTTP_RFC9110; OWASP_TOP10; CWE_TOP25</x:v>
      </x:c>
      <x:c r="L156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6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6" s="16" t="str">
        <x:v>not_assessed</x:v>
      </x:c>
      <x:c r="O156" s="16" t="str"/>
      <x:c r="P156" s="18" t="str"/>
      <x:c r="Q156" s="16" t="str"/>
      <x:c r="R156" s="16" t="str"/>
      <x:c r="S156" s="16" t="str"/>
      <x:c r="T156" s="18" t="str"/>
      <x:c r="U156" s="16" t="str"/>
      <x:c r="V156" s="16" t="n">
        <x:v>0</x:v>
      </x:c>
    </x:row>
    <x:row r="157">
      <x:c r="A157" s="16" t="str">
        <x:v>FWPRO-API-017</x:v>
      </x:c>
      <x:c r="B157" s="16" t="str">
        <x:v>API</x:v>
      </x:c>
      <x:c r="C157" s="16" t="str">
        <x:v>API contracts, REST, GraphQL and RPC</x:v>
      </x:c>
      <x:c r="D157" s="16" t="str">
        <x:v>Validate response filtering so internal fields, tokens and cross-tenant data are not exposed.</x:v>
      </x:c>
      <x:c r="E157" s="16" t="str">
        <x:v>A repeatable, bounded check produces current sanitized evidence for this control, or explicitly marks it blocked/not-tested. Finding absence alone is not proof of compliance. Control objective: Validate response filtering so internal fields, tokens and cross-tenant data are not exposed.</x:v>
      </x:c>
      <x:c r="F157" s="16" t="str">
        <x:v>Bounded read-only request/response comparison, sanitized evidence and request/response identifiers.</x:v>
      </x:c>
      <x:c r="G157" s="16" t="str">
        <x:v>automated_readonly</x:v>
      </x:c>
      <x:c r="H157" s="16" t="str">
        <x:v>P0</x:v>
      </x:c>
      <x:c r="I157" s="16" t="str">
        <x:v>core</x:v>
      </x:c>
      <x:c r="J157" s="16" t="str">
        <x:v>direct; supporting | direct; supporting</x:v>
      </x:c>
      <x:c r="K157" s="16" t="str">
        <x:v>OWASP_API; OWASP_ASVS; OWASP_WSTG; OPENAPI; JSON_SCHEMA; HTTP_RFC9110; OWASP_TOP10; CWE_TOP25</x:v>
      </x:c>
      <x:c r="L157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7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7" s="16" t="str">
        <x:v>not_assessed</x:v>
      </x:c>
      <x:c r="O157" s="16" t="str"/>
      <x:c r="P157" s="18" t="str"/>
      <x:c r="Q157" s="16" t="str"/>
      <x:c r="R157" s="16" t="str"/>
      <x:c r="S157" s="16" t="str"/>
      <x:c r="T157" s="18" t="str"/>
      <x:c r="U157" s="16" t="str"/>
      <x:c r="V157" s="16" t="n">
        <x:v>0</x:v>
      </x:c>
    </x:row>
    <x:row r="158">
      <x:c r="A158" s="16" t="str">
        <x:v>FWPRO-API-018</x:v>
      </x:c>
      <x:c r="B158" s="16" t="str">
        <x:v>API</x:v>
      </x:c>
      <x:c r="C158" s="16" t="str">
        <x:v>API contracts, REST, GraphQL and RPC</x:v>
      </x:c>
      <x:c r="D158" s="16" t="str">
        <x:v>Version API security behavior and define compatible deprecation/removal policy.</x:v>
      </x:c>
      <x:c r="E158" s="16" t="str">
        <x:v>A repeatable, bounded check produces current sanitized evidence for this control, or explicitly marks it blocked/not-tested. Finding absence alone is not proof of compliance. Control objective: Version API security behavior and define compatible deprecation/removal policy.</x:v>
      </x:c>
      <x:c r="F158" s="16" t="str">
        <x:v>Bounded read-only request/response comparison, sanitized evidence and request/response identifiers.</x:v>
      </x:c>
      <x:c r="G158" s="16" t="str">
        <x:v>automated_readonly</x:v>
      </x:c>
      <x:c r="H158" s="16" t="str">
        <x:v>P0</x:v>
      </x:c>
      <x:c r="I158" s="16" t="str">
        <x:v>core</x:v>
      </x:c>
      <x:c r="J158" s="16" t="str">
        <x:v>direct; supporting | direct; supporting</x:v>
      </x:c>
      <x:c r="K158" s="16" t="str">
        <x:v>OWASP_API; OWASP_ASVS; OWASP_WSTG; OPENAPI; JSON_SCHEMA; HTTP_RFC9110; OWASP_TOP10; CWE_TOP25</x:v>
      </x:c>
      <x:c r="L158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8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8" s="16" t="str">
        <x:v>not_assessed</x:v>
      </x:c>
      <x:c r="O158" s="16" t="str"/>
      <x:c r="P158" s="18" t="str"/>
      <x:c r="Q158" s="16" t="str"/>
      <x:c r="R158" s="16" t="str"/>
      <x:c r="S158" s="16" t="str"/>
      <x:c r="T158" s="18" t="str"/>
      <x:c r="U158" s="16" t="str"/>
      <x:c r="V158" s="16" t="n">
        <x:v>0</x:v>
      </x:c>
    </x:row>
    <x:row r="159">
      <x:c r="A159" s="16" t="str">
        <x:v>FWPRO-API-019</x:v>
      </x:c>
      <x:c r="B159" s="16" t="str">
        <x:v>API</x:v>
      </x:c>
      <x:c r="C159" s="16" t="str">
        <x:v>API contracts, REST, GraphQL and RPC</x:v>
      </x:c>
      <x:c r="D159" s="16" t="str">
        <x:v>Treat API discovery as inventory evidence, not proof that every business operation has been tested.</x:v>
      </x:c>
      <x:c r="E159" s="16" t="str">
        <x:v>A repeatable, bounded check produces current sanitized evidence for this control, or explicitly marks it blocked/not-tested. Finding absence alone is not proof of compliance. Control objective: Treat API discovery as inventory evidence, not proof that every business operation has been tested.</x:v>
      </x:c>
      <x:c r="F159" s="16" t="str">
        <x:v>Bounded read-only request/response comparison, sanitized evidence and request/response identifiers.</x:v>
      </x:c>
      <x:c r="G159" s="16" t="str">
        <x:v>automated_readonly</x:v>
      </x:c>
      <x:c r="H159" s="16" t="str">
        <x:v>P0</x:v>
      </x:c>
      <x:c r="I159" s="16" t="str">
        <x:v>core</x:v>
      </x:c>
      <x:c r="J159" s="16" t="str">
        <x:v>direct; supporting | direct; supporting</x:v>
      </x:c>
      <x:c r="K159" s="16" t="str">
        <x:v>OWASP_API; OWASP_ASVS; OWASP_WSTG; OPENAPI; JSON_SCHEMA; HTTP_RFC9110; OWASP_TOP10; CWE_TOP25</x:v>
      </x:c>
      <x:c r="L159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59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59" s="16" t="str">
        <x:v>not_assessed</x:v>
      </x:c>
      <x:c r="O159" s="16" t="str"/>
      <x:c r="P159" s="18" t="str"/>
      <x:c r="Q159" s="16" t="str"/>
      <x:c r="R159" s="16" t="str"/>
      <x:c r="S159" s="16" t="str"/>
      <x:c r="T159" s="18" t="str"/>
      <x:c r="U159" s="16" t="str"/>
      <x:c r="V159" s="16" t="n">
        <x:v>0</x:v>
      </x:c>
    </x:row>
    <x:row r="160">
      <x:c r="A160" s="16" t="str">
        <x:v>FWPRO-API-020</x:v>
      </x:c>
      <x:c r="B160" s="16" t="str">
        <x:v>API</x:v>
      </x:c>
      <x:c r="C160" s="16" t="str">
        <x:v>API contracts, REST, GraphQL and RPC</x:v>
      </x:c>
      <x:c r="D160" s="16" t="str">
        <x:v>Use test accounts and synthetic records for destructive or state-changing business API verification.</x:v>
      </x:c>
      <x:c r="E160" s="16" t="str">
        <x:v>A repeatable, bounded check produces current sanitized evidence for this control, or explicitly marks it blocked/not-tested. Finding absence alone is not proof of compliance. Control objective: Use test accounts and synthetic records for destructive or state-changing business API verification.</x:v>
      </x:c>
      <x:c r="F160" s="16" t="str">
        <x:v>Bounded read-only request/response comparison, sanitized evidence and request/response identifiers.</x:v>
      </x:c>
      <x:c r="G160" s="16" t="str">
        <x:v>automated_readonly</x:v>
      </x:c>
      <x:c r="H160" s="16" t="str">
        <x:v>P0</x:v>
      </x:c>
      <x:c r="I160" s="16" t="str">
        <x:v>core</x:v>
      </x:c>
      <x:c r="J160" s="16" t="str">
        <x:v>direct; supporting | direct; supporting</x:v>
      </x:c>
      <x:c r="K160" s="16" t="str">
        <x:v>OWASP_API; OWASP_ASVS; OWASP_WSTG; OPENAPI; JSON_SCHEMA; HTTP_RFC9110; OWASP_TOP10; CWE_TOP25</x:v>
      </x:c>
      <x:c r="L160" s="16" t="str">
        <x:v>OWASP API Security Top 10 (2023); OWASP Application Security Verification Standard (5.0.0 (stable)); OWASP Web Security Testing Guide (v4.2 (current stable)); OpenAPI Specification (3.2.1 current published line); JSON Schema (2020-12 family; verify dialect declared by API); IETF RFC 9110 HTTP Semantics (2022, current with subsequent RFC updates); OWASP Top 10 (2025 (released)); MITRE CWE Top 25 (2025)</x:v>
      </x:c>
      <x:c r="M160" s="16" t="str">
        <x:v>https://owasp.org/www-project-api-security/; https://owasp.org/www-project-application-security-verification-standard/; https://owasp.org/www-project-web-security-testing-guide/v42/; https://spec.openapis.org/oas/; https://json-schema.org/specification; https://www.rfc-editor.org/rfc/rfc9110.html; https://owasp.org/projects/top-ten; https://cwe.mitre.org/top25/archive/2025/2025_cwe_top25</x:v>
      </x:c>
      <x:c r="N160" s="16" t="str">
        <x:v>not_assessed</x:v>
      </x:c>
      <x:c r="O160" s="16" t="str"/>
      <x:c r="P160" s="18" t="str"/>
      <x:c r="Q160" s="16" t="str"/>
      <x:c r="R160" s="16" t="str"/>
      <x:c r="S160" s="16" t="str"/>
      <x:c r="T160" s="18" t="str"/>
      <x:c r="U160" s="16" t="str"/>
      <x:c r="V160" s="16" t="n">
        <x:v>0</x:v>
      </x:c>
    </x:row>
    <x:row r="161">
      <x:c r="A161" s="16" t="str">
        <x:v>FWPRO-WEB-001</x:v>
      </x:c>
      <x:c r="B161" s="16" t="str">
        <x:v>WEB</x:v>
      </x:c>
      <x:c r="C161" s="16" t="str">
        <x:v>HTTP, browser policies and web configuration</x:v>
      </x:c>
      <x:c r="D161" s="16" t="str">
        <x:v>Redirect HTTP to HTTPS without loops or downgrade paths for production sites.</x:v>
      </x:c>
      <x:c r="E161" s="16" t="str">
        <x:v>A repeatable, bounded check produces current sanitized evidence for this control, or explicitly marks it blocked/not-tested. Finding absence alone is not proof of compliance. Control objective: Redirect HTTP to HTTPS without loops or downgrade paths for production sites.</x:v>
      </x:c>
      <x:c r="F161" s="16" t="str">
        <x:v>Timestamped HTTP/browser observation, sanitized response/request metadata, scanner version and rule ID.</x:v>
      </x:c>
      <x:c r="G161" s="16" t="str">
        <x:v>automated_passive</x:v>
      </x:c>
      <x:c r="H161" s="16" t="str">
        <x:v>P1</x:v>
      </x:c>
      <x:c r="I161" s="16" t="str">
        <x:v>core</x:v>
      </x:c>
      <x:c r="J161" s="16" t="str">
        <x:v>direct | direct</x:v>
      </x:c>
      <x:c r="K161" s="16" t="str">
        <x:v>OWASP_ASVS; OWASP_WSTG; OWASP_TOP10; HTTP_RFC9110; HSTS_RFC6797; CSP_W3C; SRI_W3C</x:v>
      </x:c>
      <x:c r="L161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1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1" s="16" t="str">
        <x:v>not_assessed</x:v>
      </x:c>
      <x:c r="O161" s="16" t="str"/>
      <x:c r="P161" s="18" t="str"/>
      <x:c r="Q161" s="16" t="str"/>
      <x:c r="R161" s="16" t="str"/>
      <x:c r="S161" s="16" t="str"/>
      <x:c r="T161" s="18" t="str"/>
      <x:c r="U161" s="16" t="str"/>
      <x:c r="V161" s="16" t="n">
        <x:v>0</x:v>
      </x:c>
    </x:row>
    <x:row r="162">
      <x:c r="A162" s="16" t="str">
        <x:v>FWPRO-WEB-002</x:v>
      </x:c>
      <x:c r="B162" s="16" t="str">
        <x:v>WEB</x:v>
      </x:c>
      <x:c r="C162" s="16" t="str">
        <x:v>HTTP, browser policies and web configuration</x:v>
      </x:c>
      <x:c r="D162" s="16" t="str">
        <x:v>Apply an HSTS policy only after HTTPS coverage and subdomain implications are understood.</x:v>
      </x:c>
      <x:c r="E162" s="16" t="str">
        <x:v>A repeatable, bounded check produces current sanitized evidence for this control, or explicitly marks it blocked/not-tested. Finding absence alone is not proof of compliance. Control objective: Apply an HSTS policy only after HTTPS coverage and subdomain implications are understood.</x:v>
      </x:c>
      <x:c r="F162" s="16" t="str">
        <x:v>Timestamped HTTP/browser observation, sanitized response/request metadata, scanner version and rule ID.</x:v>
      </x:c>
      <x:c r="G162" s="16" t="str">
        <x:v>automated_passive</x:v>
      </x:c>
      <x:c r="H162" s="16" t="str">
        <x:v>P1</x:v>
      </x:c>
      <x:c r="I162" s="16" t="str">
        <x:v>core</x:v>
      </x:c>
      <x:c r="J162" s="16" t="str">
        <x:v>direct | direct</x:v>
      </x:c>
      <x:c r="K162" s="16" t="str">
        <x:v>OWASP_ASVS; OWASP_WSTG; OWASP_TOP10; HTTP_RFC9110; HSTS_RFC6797; CSP_W3C; SRI_W3C</x:v>
      </x:c>
      <x:c r="L162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2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2" s="16" t="str">
        <x:v>not_assessed</x:v>
      </x:c>
      <x:c r="O162" s="16" t="str"/>
      <x:c r="P162" s="18" t="str"/>
      <x:c r="Q162" s="16" t="str"/>
      <x:c r="R162" s="16" t="str"/>
      <x:c r="S162" s="16" t="str"/>
      <x:c r="T162" s="18" t="str"/>
      <x:c r="U162" s="16" t="str"/>
      <x:c r="V162" s="16" t="n">
        <x:v>0</x:v>
      </x:c>
    </x:row>
    <x:row r="163">
      <x:c r="A163" s="16" t="str">
        <x:v>FWPRO-WEB-003</x:v>
      </x:c>
      <x:c r="B163" s="16" t="str">
        <x:v>WEB</x:v>
      </x:c>
      <x:c r="C163" s="16" t="str">
        <x:v>HTTP, browser policies and web configuration</x:v>
      </x:c>
      <x:c r="D163" s="16" t="str">
        <x:v>Deploy a CSP appropriate to the application and avoid unsafe directives when feasible.</x:v>
      </x:c>
      <x:c r="E163" s="16" t="str">
        <x:v>A repeatable, bounded check produces current sanitized evidence for this control, or explicitly marks it blocked/not-tested. Finding absence alone is not proof of compliance. Control objective: Deploy a CSP appropriate to the application and avoid unsafe directives when feasible.</x:v>
      </x:c>
      <x:c r="F163" s="16" t="str">
        <x:v>Timestamped HTTP/browser observation, sanitized response/request metadata, scanner version and rule ID.</x:v>
      </x:c>
      <x:c r="G163" s="16" t="str">
        <x:v>automated_passive</x:v>
      </x:c>
      <x:c r="H163" s="16" t="str">
        <x:v>P1</x:v>
      </x:c>
      <x:c r="I163" s="16" t="str">
        <x:v>core</x:v>
      </x:c>
      <x:c r="J163" s="16" t="str">
        <x:v>direct | direct</x:v>
      </x:c>
      <x:c r="K163" s="16" t="str">
        <x:v>OWASP_ASVS; OWASP_WSTG; OWASP_TOP10; HTTP_RFC9110; HSTS_RFC6797; CSP_W3C; SRI_W3C</x:v>
      </x:c>
      <x:c r="L163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3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3" s="16" t="str">
        <x:v>not_assessed</x:v>
      </x:c>
      <x:c r="O163" s="16" t="str"/>
      <x:c r="P163" s="18" t="str"/>
      <x:c r="Q163" s="16" t="str"/>
      <x:c r="R163" s="16" t="str"/>
      <x:c r="S163" s="16" t="str"/>
      <x:c r="T163" s="18" t="str"/>
      <x:c r="U163" s="16" t="str"/>
      <x:c r="V163" s="16" t="n">
        <x:v>0</x:v>
      </x:c>
    </x:row>
    <x:row r="164">
      <x:c r="A164" s="16" t="str">
        <x:v>FWPRO-WEB-004</x:v>
      </x:c>
      <x:c r="B164" s="16" t="str">
        <x:v>WEB</x:v>
      </x:c>
      <x:c r="C164" s="16" t="str">
        <x:v>HTTP, browser policies and web configuration</x:v>
      </x:c>
      <x:c r="D164" s="16" t="str">
        <x:v>Review frame-ancestors or equivalent clickjacking protections for sensitive interfaces.</x:v>
      </x:c>
      <x:c r="E164" s="16" t="str">
        <x:v>A repeatable, bounded check produces current sanitized evidence for this control, or explicitly marks it blocked/not-tested. Finding absence alone is not proof of compliance. Control objective: Review frame-ancestors or equivalent clickjacking protections for sensitive interfaces.</x:v>
      </x:c>
      <x:c r="F164" s="16" t="str">
        <x:v>Timestamped HTTP/browser observation, sanitized response/request metadata, scanner version and rule ID.</x:v>
      </x:c>
      <x:c r="G164" s="16" t="str">
        <x:v>automated_passive</x:v>
      </x:c>
      <x:c r="H164" s="16" t="str">
        <x:v>P1</x:v>
      </x:c>
      <x:c r="I164" s="16" t="str">
        <x:v>core</x:v>
      </x:c>
      <x:c r="J164" s="16" t="str">
        <x:v>direct | direct</x:v>
      </x:c>
      <x:c r="K164" s="16" t="str">
        <x:v>OWASP_ASVS; OWASP_WSTG; OWASP_TOP10; HTTP_RFC9110; HSTS_RFC6797; CSP_W3C; SRI_W3C</x:v>
      </x:c>
      <x:c r="L164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4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4" s="16" t="str">
        <x:v>not_assessed</x:v>
      </x:c>
      <x:c r="O164" s="16" t="str"/>
      <x:c r="P164" s="18" t="str"/>
      <x:c r="Q164" s="16" t="str"/>
      <x:c r="R164" s="16" t="str"/>
      <x:c r="S164" s="16" t="str"/>
      <x:c r="T164" s="18" t="str"/>
      <x:c r="U164" s="16" t="str"/>
      <x:c r="V164" s="16" t="n">
        <x:v>0</x:v>
      </x:c>
    </x:row>
    <x:row r="165">
      <x:c r="A165" s="16" t="str">
        <x:v>FWPRO-WEB-005</x:v>
      </x:c>
      <x:c r="B165" s="16" t="str">
        <x:v>WEB</x:v>
      </x:c>
      <x:c r="C165" s="16" t="str">
        <x:v>HTTP, browser policies and web configuration</x:v>
      </x:c>
      <x:c r="D165" s="16" t="str">
        <x:v>Set X-Content-Type-Options to prevent MIME sniffing where applicable.</x:v>
      </x:c>
      <x:c r="E165" s="16" t="str">
        <x:v>A repeatable, bounded check produces current sanitized evidence for this control, or explicitly marks it blocked/not-tested. Finding absence alone is not proof of compliance. Control objective: Set X-Content-Type-Options to prevent MIME sniffing where applicable.</x:v>
      </x:c>
      <x:c r="F165" s="16" t="str">
        <x:v>Timestamped HTTP/browser observation, sanitized response/request metadata, scanner version and rule ID.</x:v>
      </x:c>
      <x:c r="G165" s="16" t="str">
        <x:v>automated_passive</x:v>
      </x:c>
      <x:c r="H165" s="16" t="str">
        <x:v>P1</x:v>
      </x:c>
      <x:c r="I165" s="16" t="str">
        <x:v>core</x:v>
      </x:c>
      <x:c r="J165" s="16" t="str">
        <x:v>direct | direct</x:v>
      </x:c>
      <x:c r="K165" s="16" t="str">
        <x:v>OWASP_ASVS; OWASP_WSTG; OWASP_TOP10; HTTP_RFC9110; HSTS_RFC6797; CSP_W3C; SRI_W3C</x:v>
      </x:c>
      <x:c r="L165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5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5" s="16" t="str">
        <x:v>not_assessed</x:v>
      </x:c>
      <x:c r="O165" s="16" t="str"/>
      <x:c r="P165" s="18" t="str"/>
      <x:c r="Q165" s="16" t="str"/>
      <x:c r="R165" s="16" t="str"/>
      <x:c r="S165" s="16" t="str"/>
      <x:c r="T165" s="18" t="str"/>
      <x:c r="U165" s="16" t="str"/>
      <x:c r="V165" s="16" t="n">
        <x:v>0</x:v>
      </x:c>
    </x:row>
    <x:row r="166">
      <x:c r="A166" s="16" t="str">
        <x:v>FWPRO-WEB-006</x:v>
      </x:c>
      <x:c r="B166" s="16" t="str">
        <x:v>WEB</x:v>
      </x:c>
      <x:c r="C166" s="16" t="str">
        <x:v>HTTP, browser policies and web configuration</x:v>
      </x:c>
      <x:c r="D166" s="16" t="str">
        <x:v>Set a Referrer-Policy consistent with privacy and functional requirements.</x:v>
      </x:c>
      <x:c r="E166" s="16" t="str">
        <x:v>A repeatable, bounded check produces current sanitized evidence for this control, or explicitly marks it blocked/not-tested. Finding absence alone is not proof of compliance. Control objective: Set a Referrer-Policy consistent with privacy and functional requirements.</x:v>
      </x:c>
      <x:c r="F166" s="16" t="str">
        <x:v>Timestamped HTTP/browser observation, sanitized response/request metadata, scanner version and rule ID.</x:v>
      </x:c>
      <x:c r="G166" s="16" t="str">
        <x:v>automated_passive</x:v>
      </x:c>
      <x:c r="H166" s="16" t="str">
        <x:v>P1</x:v>
      </x:c>
      <x:c r="I166" s="16" t="str">
        <x:v>core</x:v>
      </x:c>
      <x:c r="J166" s="16" t="str">
        <x:v>direct | direct</x:v>
      </x:c>
      <x:c r="K166" s="16" t="str">
        <x:v>OWASP_ASVS; OWASP_WSTG; OWASP_TOP10; HTTP_RFC9110; HSTS_RFC6797; CSP_W3C; SRI_W3C</x:v>
      </x:c>
      <x:c r="L166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6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6" s="16" t="str">
        <x:v>not_assessed</x:v>
      </x:c>
      <x:c r="O166" s="16" t="str"/>
      <x:c r="P166" s="18" t="str"/>
      <x:c r="Q166" s="16" t="str"/>
      <x:c r="R166" s="16" t="str"/>
      <x:c r="S166" s="16" t="str"/>
      <x:c r="T166" s="18" t="str"/>
      <x:c r="U166" s="16" t="str"/>
      <x:c r="V166" s="16" t="n">
        <x:v>0</x:v>
      </x:c>
    </x:row>
    <x:row r="167">
      <x:c r="A167" s="16" t="str">
        <x:v>FWPRO-WEB-007</x:v>
      </x:c>
      <x:c r="B167" s="16" t="str">
        <x:v>WEB</x:v>
      </x:c>
      <x:c r="C167" s="16" t="str">
        <x:v>HTTP, browser policies and web configuration</x:v>
      </x:c>
      <x:c r="D167" s="16" t="str">
        <x:v>Set Permissions-Policy to disable unused sensitive browser capabilities where feasible.</x:v>
      </x:c>
      <x:c r="E167" s="16" t="str">
        <x:v>A repeatable, bounded check produces current sanitized evidence for this control, or explicitly marks it blocked/not-tested. Finding absence alone is not proof of compliance. Control objective: Set Permissions-Policy to disable unused sensitive browser capabilities where feasible.</x:v>
      </x:c>
      <x:c r="F167" s="16" t="str">
        <x:v>Timestamped HTTP/browser observation, sanitized response/request metadata, scanner version and rule ID.</x:v>
      </x:c>
      <x:c r="G167" s="16" t="str">
        <x:v>automated_passive</x:v>
      </x:c>
      <x:c r="H167" s="16" t="str">
        <x:v>P1</x:v>
      </x:c>
      <x:c r="I167" s="16" t="str">
        <x:v>core</x:v>
      </x:c>
      <x:c r="J167" s="16" t="str">
        <x:v>direct | direct</x:v>
      </x:c>
      <x:c r="K167" s="16" t="str">
        <x:v>OWASP_ASVS; OWASP_WSTG; OWASP_TOP10; HTTP_RFC9110; HSTS_RFC6797; CSP_W3C; SRI_W3C</x:v>
      </x:c>
      <x:c r="L167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7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7" s="16" t="str">
        <x:v>not_assessed</x:v>
      </x:c>
      <x:c r="O167" s="16" t="str"/>
      <x:c r="P167" s="18" t="str"/>
      <x:c r="Q167" s="16" t="str"/>
      <x:c r="R167" s="16" t="str"/>
      <x:c r="S167" s="16" t="str"/>
      <x:c r="T167" s="18" t="str"/>
      <x:c r="U167" s="16" t="str"/>
      <x:c r="V167" s="16" t="n">
        <x:v>0</x:v>
      </x:c>
    </x:row>
    <x:row r="168">
      <x:c r="A168" s="16" t="str">
        <x:v>FWPRO-WEB-008</x:v>
      </x:c>
      <x:c r="B168" s="16" t="str">
        <x:v>WEB</x:v>
      </x:c>
      <x:c r="C168" s="16" t="str">
        <x:v>HTTP, browser policies and web configuration</x:v>
      </x:c>
      <x:c r="D168" s="16" t="str">
        <x:v>Review COOP, COEP and CORP where cross-origin isolation/resource isolation is required.</x:v>
      </x:c>
      <x:c r="E168" s="16" t="str">
        <x:v>A repeatable, bounded check produces current sanitized evidence for this control, or explicitly marks it blocked/not-tested. Finding absence alone is not proof of compliance. Control objective: Review COOP, COEP and CORP where cross-origin isolation/resource isolation is required.</x:v>
      </x:c>
      <x:c r="F168" s="16" t="str">
        <x:v>Timestamped HTTP/browser observation, sanitized response/request metadata, scanner version and rule ID.</x:v>
      </x:c>
      <x:c r="G168" s="16" t="str">
        <x:v>automated_passive</x:v>
      </x:c>
      <x:c r="H168" s="16" t="str">
        <x:v>P1</x:v>
      </x:c>
      <x:c r="I168" s="16" t="str">
        <x:v>core</x:v>
      </x:c>
      <x:c r="J168" s="16" t="str">
        <x:v>direct | direct</x:v>
      </x:c>
      <x:c r="K168" s="16" t="str">
        <x:v>OWASP_ASVS; OWASP_WSTG; OWASP_TOP10; HTTP_RFC9110; HSTS_RFC6797; CSP_W3C; SRI_W3C</x:v>
      </x:c>
      <x:c r="L168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8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8" s="16" t="str">
        <x:v>not_assessed</x:v>
      </x:c>
      <x:c r="O168" s="16" t="str"/>
      <x:c r="P168" s="18" t="str"/>
      <x:c r="Q168" s="16" t="str"/>
      <x:c r="R168" s="16" t="str"/>
      <x:c r="S168" s="16" t="str"/>
      <x:c r="T168" s="18" t="str"/>
      <x:c r="U168" s="16" t="str"/>
      <x:c r="V168" s="16" t="n">
        <x:v>0</x:v>
      </x:c>
    </x:row>
    <x:row r="169">
      <x:c r="A169" s="16" t="str">
        <x:v>FWPRO-WEB-009</x:v>
      </x:c>
      <x:c r="B169" s="16" t="str">
        <x:v>WEB</x:v>
      </x:c>
      <x:c r="C169" s="16" t="str">
        <x:v>HTTP, browser policies and web configuration</x:v>
      </x:c>
      <x:c r="D169" s="16" t="str">
        <x:v>Ensure security headers are consistently applied on success, error, authentication and redirect responses.</x:v>
      </x:c>
      <x:c r="E169" s="16" t="str">
        <x:v>A repeatable, bounded check produces current sanitized evidence for this control, or explicitly marks it blocked/not-tested. Finding absence alone is not proof of compliance. Control objective: Ensure security headers are consistently applied on success, error, authentication and redirect responses.</x:v>
      </x:c>
      <x:c r="F169" s="16" t="str">
        <x:v>Timestamped HTTP/browser observation, sanitized response/request metadata, scanner version and rule ID.</x:v>
      </x:c>
      <x:c r="G169" s="16" t="str">
        <x:v>automated_passive</x:v>
      </x:c>
      <x:c r="H169" s="16" t="str">
        <x:v>P1</x:v>
      </x:c>
      <x:c r="I169" s="16" t="str">
        <x:v>core</x:v>
      </x:c>
      <x:c r="J169" s="16" t="str">
        <x:v>direct | direct</x:v>
      </x:c>
      <x:c r="K169" s="16" t="str">
        <x:v>OWASP_ASVS; OWASP_WSTG; OWASP_TOP10; HTTP_RFC9110; HSTS_RFC6797; CSP_W3C; SRI_W3C</x:v>
      </x:c>
      <x:c r="L169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69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69" s="16" t="str">
        <x:v>not_assessed</x:v>
      </x:c>
      <x:c r="O169" s="16" t="str"/>
      <x:c r="P169" s="18" t="str"/>
      <x:c r="Q169" s="16" t="str"/>
      <x:c r="R169" s="16" t="str"/>
      <x:c r="S169" s="16" t="str"/>
      <x:c r="T169" s="18" t="str"/>
      <x:c r="U169" s="16" t="str"/>
      <x:c r="V169" s="16" t="n">
        <x:v>0</x:v>
      </x:c>
    </x:row>
    <x:row r="170">
      <x:c r="A170" s="16" t="str">
        <x:v>FWPRO-WEB-010</x:v>
      </x:c>
      <x:c r="B170" s="16" t="str">
        <x:v>WEB</x:v>
      </x:c>
      <x:c r="C170" s="16" t="str">
        <x:v>HTTP, browser policies and web configuration</x:v>
      </x:c>
      <x:c r="D170" s="16" t="str">
        <x:v>Avoid leaking server/framework versions and internal host names in response banners.</x:v>
      </x:c>
      <x:c r="E170" s="16" t="str">
        <x:v>A repeatable, bounded check produces current sanitized evidence for this control, or explicitly marks it blocked/not-tested. Finding absence alone is not proof of compliance. Control objective: Avoid leaking server/framework versions and internal host names in response banners.</x:v>
      </x:c>
      <x:c r="F170" s="16" t="str">
        <x:v>Timestamped HTTP/browser observation, sanitized response/request metadata, scanner version and rule ID.</x:v>
      </x:c>
      <x:c r="G170" s="16" t="str">
        <x:v>automated_passive</x:v>
      </x:c>
      <x:c r="H170" s="16" t="str">
        <x:v>P1</x:v>
      </x:c>
      <x:c r="I170" s="16" t="str">
        <x:v>core</x:v>
      </x:c>
      <x:c r="J170" s="16" t="str">
        <x:v>direct | direct</x:v>
      </x:c>
      <x:c r="K170" s="16" t="str">
        <x:v>OWASP_ASVS; OWASP_WSTG; OWASP_TOP10; HTTP_RFC9110; HSTS_RFC6797; CSP_W3C; SRI_W3C</x:v>
      </x:c>
      <x:c r="L170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0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0" s="16" t="str">
        <x:v>not_assessed</x:v>
      </x:c>
      <x:c r="O170" s="16" t="str"/>
      <x:c r="P170" s="18" t="str"/>
      <x:c r="Q170" s="16" t="str"/>
      <x:c r="R170" s="16" t="str"/>
      <x:c r="S170" s="16" t="str"/>
      <x:c r="T170" s="18" t="str"/>
      <x:c r="U170" s="16" t="str"/>
      <x:c r="V170" s="16" t="n">
        <x:v>0</x:v>
      </x:c>
    </x:row>
    <x:row r="171">
      <x:c r="A171" s="16" t="str">
        <x:v>FWPRO-WEB-011</x:v>
      </x:c>
      <x:c r="B171" s="16" t="str">
        <x:v>WEB</x:v>
      </x:c>
      <x:c r="C171" s="16" t="str">
        <x:v>HTTP, browser policies and web configuration</x:v>
      </x:c>
      <x:c r="D171" s="16" t="str">
        <x:v>Review cache-control behavior for authenticated and sensitive pages.</x:v>
      </x:c>
      <x:c r="E171" s="16" t="str">
        <x:v>A repeatable, bounded check produces current sanitized evidence for this control, or explicitly marks it blocked/not-tested. Finding absence alone is not proof of compliance. Control objective: Review cache-control behavior for authenticated and sensitive pages.</x:v>
      </x:c>
      <x:c r="F171" s="16" t="str">
        <x:v>Timestamped HTTP/browser observation, sanitized response/request metadata, scanner version and rule ID.</x:v>
      </x:c>
      <x:c r="G171" s="16" t="str">
        <x:v>automated_passive</x:v>
      </x:c>
      <x:c r="H171" s="16" t="str">
        <x:v>P1</x:v>
      </x:c>
      <x:c r="I171" s="16" t="str">
        <x:v>core</x:v>
      </x:c>
      <x:c r="J171" s="16" t="str">
        <x:v>direct | direct</x:v>
      </x:c>
      <x:c r="K171" s="16" t="str">
        <x:v>OWASP_ASVS; OWASP_WSTG; OWASP_TOP10; HTTP_RFC9110; HSTS_RFC6797; CSP_W3C; SRI_W3C</x:v>
      </x:c>
      <x:c r="L171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1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1" s="16" t="str">
        <x:v>not_assessed</x:v>
      </x:c>
      <x:c r="O171" s="16" t="str"/>
      <x:c r="P171" s="18" t="str"/>
      <x:c r="Q171" s="16" t="str"/>
      <x:c r="R171" s="16" t="str"/>
      <x:c r="S171" s="16" t="str"/>
      <x:c r="T171" s="18" t="str"/>
      <x:c r="U171" s="16" t="str"/>
      <x:c r="V171" s="16" t="n">
        <x:v>0</x:v>
      </x:c>
    </x:row>
    <x:row r="172">
      <x:c r="A172" s="16" t="str">
        <x:v>FWPRO-WEB-012</x:v>
      </x:c>
      <x:c r="B172" s="16" t="str">
        <x:v>WEB</x:v>
      </x:c>
      <x:c r="C172" s="16" t="str">
        <x:v>HTTP, browser policies and web configuration</x:v>
      </x:c>
      <x:c r="D172" s="16" t="str">
        <x:v>Ensure security-sensitive redirects use allowlisted destinations and safe URL parsing.</x:v>
      </x:c>
      <x:c r="E172" s="16" t="str">
        <x:v>A repeatable, bounded check produces current sanitized evidence for this control, or explicitly marks it blocked/not-tested. Finding absence alone is not proof of compliance. Control objective: Ensure security-sensitive redirects use allowlisted destinations and safe URL parsing.</x:v>
      </x:c>
      <x:c r="F172" s="16" t="str">
        <x:v>Timestamped HTTP/browser observation, sanitized response/request metadata, scanner version and rule ID.</x:v>
      </x:c>
      <x:c r="G172" s="16" t="str">
        <x:v>automated_passive</x:v>
      </x:c>
      <x:c r="H172" s="16" t="str">
        <x:v>P1</x:v>
      </x:c>
      <x:c r="I172" s="16" t="str">
        <x:v>core</x:v>
      </x:c>
      <x:c r="J172" s="16" t="str">
        <x:v>direct | direct</x:v>
      </x:c>
      <x:c r="K172" s="16" t="str">
        <x:v>OWASP_ASVS; OWASP_WSTG; OWASP_TOP10; HTTP_RFC9110; HSTS_RFC6797; CSP_W3C; SRI_W3C</x:v>
      </x:c>
      <x:c r="L172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2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2" s="16" t="str">
        <x:v>not_assessed</x:v>
      </x:c>
      <x:c r="O172" s="16" t="str"/>
      <x:c r="P172" s="18" t="str"/>
      <x:c r="Q172" s="16" t="str"/>
      <x:c r="R172" s="16" t="str"/>
      <x:c r="S172" s="16" t="str"/>
      <x:c r="T172" s="18" t="str"/>
      <x:c r="U172" s="16" t="str"/>
      <x:c r="V172" s="16" t="n">
        <x:v>0</x:v>
      </x:c>
    </x:row>
    <x:row r="173">
      <x:c r="A173" s="16" t="str">
        <x:v>FWPRO-WEB-013</x:v>
      </x:c>
      <x:c r="B173" s="16" t="str">
        <x:v>WEB</x:v>
      </x:c>
      <x:c r="C173" s="16" t="str">
        <x:v>HTTP, browser policies and web configuration</x:v>
      </x:c>
      <x:c r="D173" s="16" t="str">
        <x:v>Check content-type correctness and avoid returning active content from untrusted upload hosts.</x:v>
      </x:c>
      <x:c r="E173" s="16" t="str">
        <x:v>A repeatable, bounded check produces current sanitized evidence for this control, or explicitly marks it blocked/not-tested. Finding absence alone is not proof of compliance. Control objective: Check content-type correctness and avoid returning active content from untrusted upload hosts.</x:v>
      </x:c>
      <x:c r="F173" s="16" t="str">
        <x:v>Timestamped HTTP/browser observation, sanitized response/request metadata, scanner version and rule ID.</x:v>
      </x:c>
      <x:c r="G173" s="16" t="str">
        <x:v>automated_passive</x:v>
      </x:c>
      <x:c r="H173" s="16" t="str">
        <x:v>P1</x:v>
      </x:c>
      <x:c r="I173" s="16" t="str">
        <x:v>core</x:v>
      </x:c>
      <x:c r="J173" s="16" t="str">
        <x:v>direct | direct</x:v>
      </x:c>
      <x:c r="K173" s="16" t="str">
        <x:v>OWASP_ASVS; OWASP_WSTG; OWASP_TOP10; HTTP_RFC9110; HSTS_RFC6797; CSP_W3C; SRI_W3C</x:v>
      </x:c>
      <x:c r="L173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3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3" s="16" t="str">
        <x:v>not_assessed</x:v>
      </x:c>
      <x:c r="O173" s="16" t="str"/>
      <x:c r="P173" s="18" t="str"/>
      <x:c r="Q173" s="16" t="str"/>
      <x:c r="R173" s="16" t="str"/>
      <x:c r="S173" s="16" t="str"/>
      <x:c r="T173" s="18" t="str"/>
      <x:c r="U173" s="16" t="str"/>
      <x:c r="V173" s="16" t="n">
        <x:v>0</x:v>
      </x:c>
    </x:row>
    <x:row r="174">
      <x:c r="A174" s="16" t="str">
        <x:v>FWPRO-WEB-014</x:v>
      </x:c>
      <x:c r="B174" s="16" t="str">
        <x:v>WEB</x:v>
      </x:c>
      <x:c r="C174" s="16" t="str">
        <x:v>HTTP, browser policies and web configuration</x:v>
      </x:c>
      <x:c r="D174" s="16" t="str">
        <x:v>Ensure error pages do not expose stack traces, configuration, paths or personal data.</x:v>
      </x:c>
      <x:c r="E174" s="16" t="str">
        <x:v>A repeatable, bounded check produces current sanitized evidence for this control, or explicitly marks it blocked/not-tested. Finding absence alone is not proof of compliance. Control objective: Ensure error pages do not expose stack traces, configuration, paths or personal data.</x:v>
      </x:c>
      <x:c r="F174" s="16" t="str">
        <x:v>Timestamped HTTP/browser observation, sanitized response/request metadata, scanner version and rule ID.</x:v>
      </x:c>
      <x:c r="G174" s="16" t="str">
        <x:v>automated_passive</x:v>
      </x:c>
      <x:c r="H174" s="16" t="str">
        <x:v>P1</x:v>
      </x:c>
      <x:c r="I174" s="16" t="str">
        <x:v>core</x:v>
      </x:c>
      <x:c r="J174" s="16" t="str">
        <x:v>direct | direct</x:v>
      </x:c>
      <x:c r="K174" s="16" t="str">
        <x:v>OWASP_ASVS; OWASP_WSTG; OWASP_TOP10; HTTP_RFC9110; HSTS_RFC6797; CSP_W3C; SRI_W3C</x:v>
      </x:c>
      <x:c r="L174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4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4" s="16" t="str">
        <x:v>not_assessed</x:v>
      </x:c>
      <x:c r="O174" s="16" t="str"/>
      <x:c r="P174" s="18" t="str"/>
      <x:c r="Q174" s="16" t="str"/>
      <x:c r="R174" s="16" t="str"/>
      <x:c r="S174" s="16" t="str"/>
      <x:c r="T174" s="18" t="str"/>
      <x:c r="U174" s="16" t="str"/>
      <x:c r="V174" s="16" t="n">
        <x:v>0</x:v>
      </x:c>
    </x:row>
    <x:row r="175">
      <x:c r="A175" s="16" t="str">
        <x:v>FWPRO-WEB-015</x:v>
      </x:c>
      <x:c r="B175" s="16" t="str">
        <x:v>WEB</x:v>
      </x:c>
      <x:c r="C175" s="16" t="str">
        <x:v>HTTP, browser policies and web configuration</x:v>
      </x:c>
      <x:c r="D175" s="16" t="str">
        <x:v>Review CORS origins, credential flags, methods and allowed headers against explicit business requirements.</x:v>
      </x:c>
      <x:c r="E175" s="16" t="str">
        <x:v>A repeatable, bounded check produces current sanitized evidence for this control, or explicitly marks it blocked/not-tested. Finding absence alone is not proof of compliance. Control objective: Review CORS origins, credential flags, methods and allowed headers against explicit business requirements.</x:v>
      </x:c>
      <x:c r="F175" s="16" t="str">
        <x:v>Timestamped HTTP/browser observation, sanitized response/request metadata, scanner version and rule ID.</x:v>
      </x:c>
      <x:c r="G175" s="16" t="str">
        <x:v>automated_passive</x:v>
      </x:c>
      <x:c r="H175" s="16" t="str">
        <x:v>P1</x:v>
      </x:c>
      <x:c r="I175" s="16" t="str">
        <x:v>core</x:v>
      </x:c>
      <x:c r="J175" s="16" t="str">
        <x:v>direct | direct</x:v>
      </x:c>
      <x:c r="K175" s="16" t="str">
        <x:v>OWASP_ASVS; OWASP_WSTG; OWASP_TOP10; HTTP_RFC9110; HSTS_RFC6797; CSP_W3C; SRI_W3C</x:v>
      </x:c>
      <x:c r="L175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5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5" s="16" t="str">
        <x:v>not_assessed</x:v>
      </x:c>
      <x:c r="O175" s="16" t="str"/>
      <x:c r="P175" s="18" t="str"/>
      <x:c r="Q175" s="16" t="str"/>
      <x:c r="R175" s="16" t="str"/>
      <x:c r="S175" s="16" t="str"/>
      <x:c r="T175" s="18" t="str"/>
      <x:c r="U175" s="16" t="str"/>
      <x:c r="V175" s="16" t="n">
        <x:v>0</x:v>
      </x:c>
    </x:row>
    <x:row r="176">
      <x:c r="A176" s="16" t="str">
        <x:v>FWPRO-WEB-016</x:v>
      </x:c>
      <x:c r="B176" s="16" t="str">
        <x:v>WEB</x:v>
      </x:c>
      <x:c r="C176" s="16" t="str">
        <x:v>HTTP, browser policies and web configuration</x:v>
      </x:c>
      <x:c r="D176" s="16" t="str">
        <x:v>Do not reflect arbitrary Origin values into access-control headers.</x:v>
      </x:c>
      <x:c r="E176" s="16" t="str">
        <x:v>A repeatable, bounded check produces current sanitized evidence for this control, or explicitly marks it blocked/not-tested. Finding absence alone is not proof of compliance. Control objective: Do not reflect arbitrary Origin values into access-control headers.</x:v>
      </x:c>
      <x:c r="F176" s="16" t="str">
        <x:v>Timestamped HTTP/browser observation, sanitized response/request metadata, scanner version and rule ID.</x:v>
      </x:c>
      <x:c r="G176" s="16" t="str">
        <x:v>automated_passive</x:v>
      </x:c>
      <x:c r="H176" s="16" t="str">
        <x:v>P1</x:v>
      </x:c>
      <x:c r="I176" s="16" t="str">
        <x:v>core</x:v>
      </x:c>
      <x:c r="J176" s="16" t="str">
        <x:v>direct | direct</x:v>
      </x:c>
      <x:c r="K176" s="16" t="str">
        <x:v>OWASP_ASVS; OWASP_WSTG; OWASP_TOP10; HTTP_RFC9110; HSTS_RFC6797; CSP_W3C; SRI_W3C</x:v>
      </x:c>
      <x:c r="L176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6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6" s="16" t="str">
        <x:v>not_assessed</x:v>
      </x:c>
      <x:c r="O176" s="16" t="str"/>
      <x:c r="P176" s="18" t="str"/>
      <x:c r="Q176" s="16" t="str"/>
      <x:c r="R176" s="16" t="str"/>
      <x:c r="S176" s="16" t="str"/>
      <x:c r="T176" s="18" t="str"/>
      <x:c r="U176" s="16" t="str"/>
      <x:c r="V176" s="16" t="n">
        <x:v>0</x:v>
      </x:c>
    </x:row>
    <x:row r="177">
      <x:c r="A177" s="16" t="str">
        <x:v>FWPRO-WEB-017</x:v>
      </x:c>
      <x:c r="B177" s="16" t="str">
        <x:v>WEB</x:v>
      </x:c>
      <x:c r="C177" s="16" t="str">
        <x:v>HTTP, browser policies and web configuration</x:v>
      </x:c>
      <x:c r="D177" s="16" t="str">
        <x:v>Use SRI for eligible immutable third-party scripts/styles and review update/rotation processes.</x:v>
      </x:c>
      <x:c r="E177" s="16" t="str">
        <x:v>A repeatable, bounded check produces current sanitized evidence for this control, or explicitly marks it blocked/not-tested. Finding absence alone is not proof of compliance. Control objective: Use SRI for eligible immutable third-party scripts/styles and review update/rotation processes.</x:v>
      </x:c>
      <x:c r="F177" s="16" t="str">
        <x:v>Timestamped HTTP/browser observation, sanitized response/request metadata, scanner version and rule ID.</x:v>
      </x:c>
      <x:c r="G177" s="16" t="str">
        <x:v>automated_passive</x:v>
      </x:c>
      <x:c r="H177" s="16" t="str">
        <x:v>P1</x:v>
      </x:c>
      <x:c r="I177" s="16" t="str">
        <x:v>core</x:v>
      </x:c>
      <x:c r="J177" s="16" t="str">
        <x:v>direct | direct</x:v>
      </x:c>
      <x:c r="K177" s="16" t="str">
        <x:v>OWASP_ASVS; OWASP_WSTG; OWASP_TOP10; HTTP_RFC9110; HSTS_RFC6797; CSP_W3C; SRI_W3C</x:v>
      </x:c>
      <x:c r="L177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7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7" s="16" t="str">
        <x:v>not_assessed</x:v>
      </x:c>
      <x:c r="O177" s="16" t="str"/>
      <x:c r="P177" s="18" t="str"/>
      <x:c r="Q177" s="16" t="str"/>
      <x:c r="R177" s="16" t="str"/>
      <x:c r="S177" s="16" t="str"/>
      <x:c r="T177" s="18" t="str"/>
      <x:c r="U177" s="16" t="str"/>
      <x:c r="V177" s="16" t="n">
        <x:v>0</x:v>
      </x:c>
    </x:row>
    <x:row r="178">
      <x:c r="A178" s="16" t="str">
        <x:v>FWPRO-WEB-018</x:v>
      </x:c>
      <x:c r="B178" s="16" t="str">
        <x:v>WEB</x:v>
      </x:c>
      <x:c r="C178" s="16" t="str">
        <x:v>HTTP, browser policies and web configuration</x:v>
      </x:c>
      <x:c r="D178" s="16" t="str">
        <x:v>Avoid mixed content and insecure resource references in HTTPS pages.</x:v>
      </x:c>
      <x:c r="E178" s="16" t="str">
        <x:v>A repeatable, bounded check produces current sanitized evidence for this control, or explicitly marks it blocked/not-tested. Finding absence alone is not proof of compliance. Control objective: Avoid mixed content and insecure resource references in HTTPS pages.</x:v>
      </x:c>
      <x:c r="F178" s="16" t="str">
        <x:v>Timestamped HTTP/browser observation, sanitized response/request metadata, scanner version and rule ID.</x:v>
      </x:c>
      <x:c r="G178" s="16" t="str">
        <x:v>automated_passive</x:v>
      </x:c>
      <x:c r="H178" s="16" t="str">
        <x:v>P1</x:v>
      </x:c>
      <x:c r="I178" s="16" t="str">
        <x:v>core</x:v>
      </x:c>
      <x:c r="J178" s="16" t="str">
        <x:v>direct | direct</x:v>
      </x:c>
      <x:c r="K178" s="16" t="str">
        <x:v>OWASP_ASVS; OWASP_WSTG; OWASP_TOP10; HTTP_RFC9110; HSTS_RFC6797; CSP_W3C; SRI_W3C</x:v>
      </x:c>
      <x:c r="L178" s="16" t="str">
        <x:v>OWASP Application Security Verification Standard (5.0.0 (stable)); OWASP Web Security Testing Guide (v4.2 (current stable)); OWASP Top 10 (2025 (released)); IETF RFC 9110 HTTP Semantics (2022, current with subsequent RFC updates); IETF RFC 6797 HTTP Strict Transport Security (2012; use with current browser behavior); W3C Content Security Policy Level 3 (Living/current published spec; check status at use time); W3C Subresource Integrity (W3C specification)</x:v>
      </x:c>
      <x:c r="M178" s="16" t="str">
        <x:v>https://owasp.org/www-project-application-security-verification-standard/; https://owasp.org/www-project-web-security-testing-guide/v42/; https://owasp.org/projects/top-ten; https://www.rfc-editor.org/rfc/rfc9110.html; https://www.rfc-editor.org/rfc/rfc6797.html; https://www.w3.org/TR/CSP/; https://www.w3.org/TR/SRI/</x:v>
      </x:c>
      <x:c r="N178" s="16" t="str">
        <x:v>not_assessed</x:v>
      </x:c>
      <x:c r="O178" s="16" t="str"/>
      <x:c r="P178" s="18" t="str"/>
      <x:c r="Q178" s="16" t="str"/>
      <x:c r="R178" s="16" t="str"/>
      <x:c r="S178" s="16" t="str"/>
      <x:c r="T178" s="18" t="str"/>
      <x:c r="U178" s="16" t="str"/>
      <x:c r="V178" s="16" t="n">
        <x:v>0</x:v>
      </x:c>
    </x:row>
    <x:row r="179">
      <x:c r="A179" s="16" t="str">
        <x:v>FWPRO-CRYPTO-001</x:v>
      </x:c>
      <x:c r="B179" s="16" t="str">
        <x:v>CRYPTO</x:v>
      </x:c>
      <x:c r="C179" s="16" t="str">
        <x:v>Cryptography, certificates and secret management</x:v>
      </x:c>
      <x:c r="D179" s="16" t="str">
        <x:v>Disable obsolete TLS versions and weak cipher suites according to current platform guidance.</x:v>
      </x:c>
      <x:c r="E179" s="16" t="str">
        <x:v>A repeatable, bounded check produces current sanitized evidence for this control, or explicitly marks it blocked/not-tested. Finding absence alone is not proof of compliance. Control objective: Disable obsolete TLS versions and weak cipher suites according to current platform guidance.</x:v>
      </x:c>
      <x:c r="F179" s="16" t="str">
        <x:v>Timestamped HTTP/browser observation, sanitized response/request metadata, scanner version and rule ID.</x:v>
      </x:c>
      <x:c r="G179" s="16" t="str">
        <x:v>automated_passive</x:v>
      </x:c>
      <x:c r="H179" s="16" t="str">
        <x:v>P0</x:v>
      </x:c>
      <x:c r="I179" s="16" t="str">
        <x:v>core</x:v>
      </x:c>
      <x:c r="J179" s="16" t="str">
        <x:v>conditional; direct; supporting | conditional; direct; supporting</x:v>
      </x:c>
      <x:c r="K179" s="16" t="str">
        <x:v>OWASP_ASVS; OWASP_WSTG; OWASP_TOP10; NIST_800_53; ISO27002; TLS_RFC8446; TLS_BCP; FIPS1403</x:v>
      </x:c>
      <x:c r="L179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79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79" s="16" t="str">
        <x:v>not_assessed</x:v>
      </x:c>
      <x:c r="O179" s="16" t="str"/>
      <x:c r="P179" s="18" t="str"/>
      <x:c r="Q179" s="16" t="str"/>
      <x:c r="R179" s="16" t="str"/>
      <x:c r="S179" s="16" t="str"/>
      <x:c r="T179" s="18" t="str"/>
      <x:c r="U179" s="16" t="str"/>
      <x:c r="V179" s="16" t="n">
        <x:v>0</x:v>
      </x:c>
    </x:row>
    <x:row r="180">
      <x:c r="A180" s="16" t="str">
        <x:v>FWPRO-CRYPTO-002</x:v>
      </x:c>
      <x:c r="B180" s="16" t="str">
        <x:v>CRYPTO</x:v>
      </x:c>
      <x:c r="C180" s="16" t="str">
        <x:v>Cryptography, certificates and secret management</x:v>
      </x:c>
      <x:c r="D180" s="16" t="str">
        <x:v>Prefer TLS 1.3 and maintain a documented compatibility exception for any TLS 1.2 dependency.</x:v>
      </x:c>
      <x:c r="E180" s="16" t="str">
        <x:v>A repeatable, bounded check produces current sanitized evidence for this control, or explicitly marks it blocked/not-tested. Finding absence alone is not proof of compliance. Control objective: Prefer TLS 1.3 and maintain a documented compatibility exception for any TLS 1.2 dependency.</x:v>
      </x:c>
      <x:c r="F180" s="16" t="str">
        <x:v>Timestamped HTTP/browser observation, sanitized response/request metadata, scanner version and rule ID.</x:v>
      </x:c>
      <x:c r="G180" s="16" t="str">
        <x:v>automated_passive</x:v>
      </x:c>
      <x:c r="H180" s="16" t="str">
        <x:v>P0</x:v>
      </x:c>
      <x:c r="I180" s="16" t="str">
        <x:v>core</x:v>
      </x:c>
      <x:c r="J180" s="16" t="str">
        <x:v>conditional; direct; supporting | conditional; direct; supporting</x:v>
      </x:c>
      <x:c r="K180" s="16" t="str">
        <x:v>OWASP_ASVS; OWASP_WSTG; OWASP_TOP10; NIST_800_53; ISO27002; TLS_RFC8446; TLS_BCP; FIPS1403</x:v>
      </x:c>
      <x:c r="L180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0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0" s="16" t="str">
        <x:v>not_assessed</x:v>
      </x:c>
      <x:c r="O180" s="16" t="str"/>
      <x:c r="P180" s="18" t="str"/>
      <x:c r="Q180" s="16" t="str"/>
      <x:c r="R180" s="16" t="str"/>
      <x:c r="S180" s="16" t="str"/>
      <x:c r="T180" s="18" t="str"/>
      <x:c r="U180" s="16" t="str"/>
      <x:c r="V180" s="16" t="n">
        <x:v>0</x:v>
      </x:c>
    </x:row>
    <x:row r="181">
      <x:c r="A181" s="16" t="str">
        <x:v>FWPRO-CRYPTO-003</x:v>
      </x:c>
      <x:c r="B181" s="16" t="str">
        <x:v>CRYPTO</x:v>
      </x:c>
      <x:c r="C181" s="16" t="str">
        <x:v>Cryptography, certificates and secret management</x:v>
      </x:c>
      <x:c r="D181" s="16" t="str">
        <x:v>Validate certificate chain, hostname, expiration, validity dates and renewal ownership.</x:v>
      </x:c>
      <x:c r="E181" s="16" t="str">
        <x:v>A repeatable, bounded check produces current sanitized evidence for this control, or explicitly marks it blocked/not-tested. Finding absence alone is not proof of compliance. Control objective: Validate certificate chain, hostname, expiration, validity dates and renewal ownership.</x:v>
      </x:c>
      <x:c r="F181" s="16" t="str">
        <x:v>Timestamped HTTP/browser observation, sanitized response/request metadata, scanner version and rule ID.</x:v>
      </x:c>
      <x:c r="G181" s="16" t="str">
        <x:v>automated_passive</x:v>
      </x:c>
      <x:c r="H181" s="16" t="str">
        <x:v>P0</x:v>
      </x:c>
      <x:c r="I181" s="16" t="str">
        <x:v>core</x:v>
      </x:c>
      <x:c r="J181" s="16" t="str">
        <x:v>conditional; direct; supporting | conditional; direct; supporting</x:v>
      </x:c>
      <x:c r="K181" s="16" t="str">
        <x:v>OWASP_ASVS; OWASP_WSTG; OWASP_TOP10; NIST_800_53; ISO27002; TLS_RFC8446; TLS_BCP; FIPS1403</x:v>
      </x:c>
      <x:c r="L181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1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1" s="16" t="str">
        <x:v>not_assessed</x:v>
      </x:c>
      <x:c r="O181" s="16" t="str"/>
      <x:c r="P181" s="18" t="str"/>
      <x:c r="Q181" s="16" t="str"/>
      <x:c r="R181" s="16" t="str"/>
      <x:c r="S181" s="16" t="str"/>
      <x:c r="T181" s="18" t="str"/>
      <x:c r="U181" s="16" t="str"/>
      <x:c r="V181" s="16" t="n">
        <x:v>0</x:v>
      </x:c>
    </x:row>
    <x:row r="182">
      <x:c r="A182" s="16" t="str">
        <x:v>FWPRO-CRYPTO-004</x:v>
      </x:c>
      <x:c r="B182" s="16" t="str">
        <x:v>CRYPTO</x:v>
      </x:c>
      <x:c r="C182" s="16" t="str">
        <x:v>Cryptography, certificates and secret management</x:v>
      </x:c>
      <x:c r="D182" s="16" t="str">
        <x:v>Protect private keys and signing keys from source code, logs, images and user-facing artifacts.</x:v>
      </x:c>
      <x:c r="E182" s="16" t="str">
        <x:v>A repeatable, bounded check produces current sanitized evidence for this control, or explicitly marks it blocked/not-tested. Finding absence alone is not proof of compliance. Control objective: Protect private keys and signing keys from source code, logs, images and user-facing artifacts.</x:v>
      </x:c>
      <x:c r="F182" s="16" t="str">
        <x:v>Timestamped HTTP/browser observation, sanitized response/request metadata, scanner version and rule ID.</x:v>
      </x:c>
      <x:c r="G182" s="16" t="str">
        <x:v>automated_passive</x:v>
      </x:c>
      <x:c r="H182" s="16" t="str">
        <x:v>P0</x:v>
      </x:c>
      <x:c r="I182" s="16" t="str">
        <x:v>core</x:v>
      </x:c>
      <x:c r="J182" s="16" t="str">
        <x:v>conditional; direct; supporting | conditional; direct; supporting</x:v>
      </x:c>
      <x:c r="K182" s="16" t="str">
        <x:v>OWASP_ASVS; OWASP_WSTG; OWASP_TOP10; NIST_800_53; ISO27002; TLS_RFC8446; TLS_BCP; FIPS1403</x:v>
      </x:c>
      <x:c r="L182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2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2" s="16" t="str">
        <x:v>not_assessed</x:v>
      </x:c>
      <x:c r="O182" s="16" t="str"/>
      <x:c r="P182" s="18" t="str"/>
      <x:c r="Q182" s="16" t="str"/>
      <x:c r="R182" s="16" t="str"/>
      <x:c r="S182" s="16" t="str"/>
      <x:c r="T182" s="18" t="str"/>
      <x:c r="U182" s="16" t="str"/>
      <x:c r="V182" s="16" t="n">
        <x:v>0</x:v>
      </x:c>
    </x:row>
    <x:row r="183">
      <x:c r="A183" s="16" t="str">
        <x:v>FWPRO-CRYPTO-005</x:v>
      </x:c>
      <x:c r="B183" s="16" t="str">
        <x:v>CRYPTO</x:v>
      </x:c>
      <x:c r="C183" s="16" t="str">
        <x:v>Cryptography, certificates and secret management</x:v>
      </x:c>
      <x:c r="D183" s="16" t="str">
        <x:v>Use a managed secret store with access controls, rotation and audit for production secrets.</x:v>
      </x:c>
      <x:c r="E183" s="16" t="str">
        <x:v>A repeatable, bounded check produces current sanitized evidence for this control, or explicitly marks it blocked/not-tested. Finding absence alone is not proof of compliance. Control objective: Use a managed secret store with access controls, rotation and audit for production secrets.</x:v>
      </x:c>
      <x:c r="F183" s="16" t="str">
        <x:v>Timestamped HTTP/browser observation, sanitized response/request metadata, scanner version and rule ID.</x:v>
      </x:c>
      <x:c r="G183" s="16" t="str">
        <x:v>automated_passive</x:v>
      </x:c>
      <x:c r="H183" s="16" t="str">
        <x:v>P0</x:v>
      </x:c>
      <x:c r="I183" s="16" t="str">
        <x:v>core</x:v>
      </x:c>
      <x:c r="J183" s="16" t="str">
        <x:v>conditional; direct; supporting | conditional; direct; supporting</x:v>
      </x:c>
      <x:c r="K183" s="16" t="str">
        <x:v>OWASP_ASVS; OWASP_WSTG; OWASP_TOP10; NIST_800_53; ISO27002; TLS_RFC8446; TLS_BCP; FIPS1403</x:v>
      </x:c>
      <x:c r="L183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3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3" s="16" t="str">
        <x:v>not_assessed</x:v>
      </x:c>
      <x:c r="O183" s="16" t="str"/>
      <x:c r="P183" s="18" t="str"/>
      <x:c r="Q183" s="16" t="str"/>
      <x:c r="R183" s="16" t="str"/>
      <x:c r="S183" s="16" t="str"/>
      <x:c r="T183" s="18" t="str"/>
      <x:c r="U183" s="16" t="str"/>
      <x:c r="V183" s="16" t="n">
        <x:v>0</x:v>
      </x:c>
    </x:row>
    <x:row r="184">
      <x:c r="A184" s="16" t="str">
        <x:v>FWPRO-CRYPTO-006</x:v>
      </x:c>
      <x:c r="B184" s="16" t="str">
        <x:v>CRYPTO</x:v>
      </x:c>
      <x:c r="C184" s="16" t="str">
        <x:v>Cryptography, certificates and secret management</x:v>
      </x:c>
      <x:c r="D184" s="16" t="str">
        <x:v>Separate development, staging and production keys and credentials.</x:v>
      </x:c>
      <x:c r="E184" s="16" t="str">
        <x:v>A repeatable, bounded check produces current sanitized evidence for this control, or explicitly marks it blocked/not-tested. Finding absence alone is not proof of compliance. Control objective: Separate development, staging and production keys and credentials.</x:v>
      </x:c>
      <x:c r="F184" s="16" t="str">
        <x:v>Timestamped HTTP/browser observation, sanitized response/request metadata, scanner version and rule ID.</x:v>
      </x:c>
      <x:c r="G184" s="16" t="str">
        <x:v>automated_passive</x:v>
      </x:c>
      <x:c r="H184" s="16" t="str">
        <x:v>P0</x:v>
      </x:c>
      <x:c r="I184" s="16" t="str">
        <x:v>core</x:v>
      </x:c>
      <x:c r="J184" s="16" t="str">
        <x:v>conditional; direct; supporting | conditional; direct; supporting</x:v>
      </x:c>
      <x:c r="K184" s="16" t="str">
        <x:v>OWASP_ASVS; OWASP_WSTG; OWASP_TOP10; NIST_800_53; ISO27002; TLS_RFC8446; TLS_BCP; FIPS1403</x:v>
      </x:c>
      <x:c r="L184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4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4" s="16" t="str">
        <x:v>not_assessed</x:v>
      </x:c>
      <x:c r="O184" s="16" t="str"/>
      <x:c r="P184" s="18" t="str"/>
      <x:c r="Q184" s="16" t="str"/>
      <x:c r="R184" s="16" t="str"/>
      <x:c r="S184" s="16" t="str"/>
      <x:c r="T184" s="18" t="str"/>
      <x:c r="U184" s="16" t="str"/>
      <x:c r="V184" s="16" t="n">
        <x:v>0</x:v>
      </x:c>
    </x:row>
    <x:row r="185">
      <x:c r="A185" s="16" t="str">
        <x:v>FWPRO-CRYPTO-007</x:v>
      </x:c>
      <x:c r="B185" s="16" t="str">
        <x:v>CRYPTO</x:v>
      </x:c>
      <x:c r="C185" s="16" t="str">
        <x:v>Cryptography, certificates and secret management</x:v>
      </x:c>
      <x:c r="D185" s="16" t="str">
        <x:v>Define cryptographic key creation, distribution, rotation, revocation, backup and destruction processes.</x:v>
      </x:c>
      <x:c r="E185" s="16" t="str">
        <x:v>A repeatable, bounded check produces current sanitized evidence for this control, or explicitly marks it blocked/not-tested. Finding absence alone is not proof of compliance. Control objective: Define cryptographic key creation, distribution, rotation, revocation, backup and destruction processes.</x:v>
      </x:c>
      <x:c r="F185" s="16" t="str">
        <x:v>Timestamped HTTP/browser observation, sanitized response/request metadata, scanner version and rule ID.</x:v>
      </x:c>
      <x:c r="G185" s="16" t="str">
        <x:v>automated_passive</x:v>
      </x:c>
      <x:c r="H185" s="16" t="str">
        <x:v>P0</x:v>
      </x:c>
      <x:c r="I185" s="16" t="str">
        <x:v>core</x:v>
      </x:c>
      <x:c r="J185" s="16" t="str">
        <x:v>conditional; direct; supporting | conditional; direct; supporting</x:v>
      </x:c>
      <x:c r="K185" s="16" t="str">
        <x:v>OWASP_ASVS; OWASP_WSTG; OWASP_TOP10; NIST_800_53; ISO27002; TLS_RFC8446; TLS_BCP; FIPS1403</x:v>
      </x:c>
      <x:c r="L185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5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5" s="16" t="str">
        <x:v>not_assessed</x:v>
      </x:c>
      <x:c r="O185" s="16" t="str"/>
      <x:c r="P185" s="18" t="str"/>
      <x:c r="Q185" s="16" t="str"/>
      <x:c r="R185" s="16" t="str"/>
      <x:c r="S185" s="16" t="str"/>
      <x:c r="T185" s="18" t="str"/>
      <x:c r="U185" s="16" t="str"/>
      <x:c r="V185" s="16" t="n">
        <x:v>0</x:v>
      </x:c>
    </x:row>
    <x:row r="186">
      <x:c r="A186" s="16" t="str">
        <x:v>FWPRO-CRYPTO-008</x:v>
      </x:c>
      <x:c r="B186" s="16" t="str">
        <x:v>CRYPTO</x:v>
      </x:c>
      <x:c r="C186" s="16" t="str">
        <x:v>Cryptography, certificates and secret management</x:v>
      </x:c>
      <x:c r="D186" s="16" t="str">
        <x:v>Use vetted cryptographic libraries and avoid custom algorithms or ad hoc modes.</x:v>
      </x:c>
      <x:c r="E186" s="16" t="str">
        <x:v>A repeatable, bounded check produces current sanitized evidence for this control, or explicitly marks it blocked/not-tested. Finding absence alone is not proof of compliance. Control objective: Use vetted cryptographic libraries and avoid custom algorithms or ad hoc modes.</x:v>
      </x:c>
      <x:c r="F186" s="16" t="str">
        <x:v>Timestamped HTTP/browser observation, sanitized response/request metadata, scanner version and rule ID.</x:v>
      </x:c>
      <x:c r="G186" s="16" t="str">
        <x:v>automated_passive</x:v>
      </x:c>
      <x:c r="H186" s="16" t="str">
        <x:v>P0</x:v>
      </x:c>
      <x:c r="I186" s="16" t="str">
        <x:v>core</x:v>
      </x:c>
      <x:c r="J186" s="16" t="str">
        <x:v>conditional; direct; supporting | conditional; direct; supporting</x:v>
      </x:c>
      <x:c r="K186" s="16" t="str">
        <x:v>OWASP_ASVS; OWASP_WSTG; OWASP_TOP10; NIST_800_53; ISO27002; TLS_RFC8446; TLS_BCP; FIPS1403</x:v>
      </x:c>
      <x:c r="L186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6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6" s="16" t="str">
        <x:v>not_assessed</x:v>
      </x:c>
      <x:c r="O186" s="16" t="str"/>
      <x:c r="P186" s="18" t="str"/>
      <x:c r="Q186" s="16" t="str"/>
      <x:c r="R186" s="16" t="str"/>
      <x:c r="S186" s="16" t="str"/>
      <x:c r="T186" s="18" t="str"/>
      <x:c r="U186" s="16" t="str"/>
      <x:c r="V186" s="16" t="n">
        <x:v>0</x:v>
      </x:c>
    </x:row>
    <x:row r="187">
      <x:c r="A187" s="16" t="str">
        <x:v>FWPRO-CRYPTO-009</x:v>
      </x:c>
      <x:c r="B187" s="16" t="str">
        <x:v>CRYPTO</x:v>
      </x:c>
      <x:c r="C187" s="16" t="str">
        <x:v>Cryptography, certificates and secret management</x:v>
      </x:c>
      <x:c r="D187" s="16" t="str">
        <x:v>Protect sensitive data in transit and at rest based on data classification and threat model.</x:v>
      </x:c>
      <x:c r="E187" s="16" t="str">
        <x:v>A repeatable, bounded check produces current sanitized evidence for this control, or explicitly marks it blocked/not-tested. Finding absence alone is not proof of compliance. Control objective: Protect sensitive data in transit and at rest based on data classification and threat model.</x:v>
      </x:c>
      <x:c r="F187" s="16" t="str">
        <x:v>Timestamped HTTP/browser observation, sanitized response/request metadata, scanner version and rule ID.</x:v>
      </x:c>
      <x:c r="G187" s="16" t="str">
        <x:v>automated_passive</x:v>
      </x:c>
      <x:c r="H187" s="16" t="str">
        <x:v>P0</x:v>
      </x:c>
      <x:c r="I187" s="16" t="str">
        <x:v>core</x:v>
      </x:c>
      <x:c r="J187" s="16" t="str">
        <x:v>conditional; direct; supporting | conditional; direct; supporting</x:v>
      </x:c>
      <x:c r="K187" s="16" t="str">
        <x:v>OWASP_ASVS; OWASP_WSTG; OWASP_TOP10; NIST_800_53; ISO27002; TLS_RFC8446; TLS_BCP; FIPS1403</x:v>
      </x:c>
      <x:c r="L187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7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7" s="16" t="str">
        <x:v>not_assessed</x:v>
      </x:c>
      <x:c r="O187" s="16" t="str"/>
      <x:c r="P187" s="18" t="str"/>
      <x:c r="Q187" s="16" t="str"/>
      <x:c r="R187" s="16" t="str"/>
      <x:c r="S187" s="16" t="str"/>
      <x:c r="T187" s="18" t="str"/>
      <x:c r="U187" s="16" t="str"/>
      <x:c r="V187" s="16" t="n">
        <x:v>0</x:v>
      </x:c>
    </x:row>
    <x:row r="188">
      <x:c r="A188" s="16" t="str">
        <x:v>FWPRO-CRYPTO-010</x:v>
      </x:c>
      <x:c r="B188" s="16" t="str">
        <x:v>CRYPTO</x:v>
      </x:c>
      <x:c r="C188" s="16" t="str">
        <x:v>Cryptography, certificates and secret management</x:v>
      </x:c>
      <x:c r="D188" s="16" t="str">
        <x:v>Use authenticated encryption or approved constructions when encrypting application data.</x:v>
      </x:c>
      <x:c r="E188" s="16" t="str">
        <x:v>A repeatable, bounded check produces current sanitized evidence for this control, or explicitly marks it blocked/not-tested. Finding absence alone is not proof of compliance. Control objective: Use authenticated encryption or approved constructions when encrypting application data.</x:v>
      </x:c>
      <x:c r="F188" s="16" t="str">
        <x:v>Timestamped HTTP/browser observation, sanitized response/request metadata, scanner version and rule ID.</x:v>
      </x:c>
      <x:c r="G188" s="16" t="str">
        <x:v>automated_passive</x:v>
      </x:c>
      <x:c r="H188" s="16" t="str">
        <x:v>P0</x:v>
      </x:c>
      <x:c r="I188" s="16" t="str">
        <x:v>core</x:v>
      </x:c>
      <x:c r="J188" s="16" t="str">
        <x:v>conditional; direct; supporting | conditional; direct; supporting</x:v>
      </x:c>
      <x:c r="K188" s="16" t="str">
        <x:v>OWASP_ASVS; OWASP_WSTG; OWASP_TOP10; NIST_800_53; ISO27002; TLS_RFC8446; TLS_BCP; FIPS1403</x:v>
      </x:c>
      <x:c r="L188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8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8" s="16" t="str">
        <x:v>not_assessed</x:v>
      </x:c>
      <x:c r="O188" s="16" t="str"/>
      <x:c r="P188" s="18" t="str"/>
      <x:c r="Q188" s="16" t="str"/>
      <x:c r="R188" s="16" t="str"/>
      <x:c r="S188" s="16" t="str"/>
      <x:c r="T188" s="18" t="str"/>
      <x:c r="U188" s="16" t="str"/>
      <x:c r="V188" s="16" t="n">
        <x:v>0</x:v>
      </x:c>
    </x:row>
    <x:row r="189">
      <x:c r="A189" s="16" t="str">
        <x:v>FWPRO-CRYPTO-011</x:v>
      </x:c>
      <x:c r="B189" s="16" t="str">
        <x:v>CRYPTO</x:v>
      </x:c>
      <x:c r="C189" s="16" t="str">
        <x:v>Cryptography, certificates and secret management</x:v>
      </x:c>
      <x:c r="D189" s="16" t="str">
        <x:v>Review random number generation and token generation for cryptographic suitability.</x:v>
      </x:c>
      <x:c r="E189" s="16" t="str">
        <x:v>A repeatable, bounded check produces current sanitized evidence for this control, or explicitly marks it blocked/not-tested. Finding absence alone is not proof of compliance. Control objective: Review random number generation and token generation for cryptographic suitability.</x:v>
      </x:c>
      <x:c r="F189" s="16" t="str">
        <x:v>Timestamped HTTP/browser observation, sanitized response/request metadata, scanner version and rule ID.</x:v>
      </x:c>
      <x:c r="G189" s="16" t="str">
        <x:v>automated_passive</x:v>
      </x:c>
      <x:c r="H189" s="16" t="str">
        <x:v>P0</x:v>
      </x:c>
      <x:c r="I189" s="16" t="str">
        <x:v>core</x:v>
      </x:c>
      <x:c r="J189" s="16" t="str">
        <x:v>conditional; direct; supporting | conditional; direct; supporting</x:v>
      </x:c>
      <x:c r="K189" s="16" t="str">
        <x:v>OWASP_ASVS; OWASP_WSTG; OWASP_TOP10; NIST_800_53; ISO27002; TLS_RFC8446; TLS_BCP; FIPS1403</x:v>
      </x:c>
      <x:c r="L189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89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89" s="16" t="str">
        <x:v>not_assessed</x:v>
      </x:c>
      <x:c r="O189" s="16" t="str"/>
      <x:c r="P189" s="18" t="str"/>
      <x:c r="Q189" s="16" t="str"/>
      <x:c r="R189" s="16" t="str"/>
      <x:c r="S189" s="16" t="str"/>
      <x:c r="T189" s="18" t="str"/>
      <x:c r="U189" s="16" t="str"/>
      <x:c r="V189" s="16" t="n">
        <x:v>0</x:v>
      </x:c>
    </x:row>
    <x:row r="190">
      <x:c r="A190" s="16" t="str">
        <x:v>FWPRO-CRYPTO-012</x:v>
      </x:c>
      <x:c r="B190" s="16" t="str">
        <x:v>CRYPTO</x:v>
      </x:c>
      <x:c r="C190" s="16" t="str">
        <x:v>Cryptography, certificates and secret management</x:v>
      </x:c>
      <x:c r="D190" s="16" t="str">
        <x:v>Ensure password hashes use a dedicated password-hashing scheme, not general-purpose hashes alone.</x:v>
      </x:c>
      <x:c r="E190" s="16" t="str">
        <x:v>A repeatable, bounded check produces current sanitized evidence for this control, or explicitly marks it blocked/not-tested. Finding absence alone is not proof of compliance. Control objective: Ensure password hashes use a dedicated password-hashing scheme, not general-purpose hashes alone.</x:v>
      </x:c>
      <x:c r="F190" s="16" t="str">
        <x:v>Timestamped HTTP/browser observation, sanitized response/request metadata, scanner version and rule ID.</x:v>
      </x:c>
      <x:c r="G190" s="16" t="str">
        <x:v>automated_passive</x:v>
      </x:c>
      <x:c r="H190" s="16" t="str">
        <x:v>P0</x:v>
      </x:c>
      <x:c r="I190" s="16" t="str">
        <x:v>core</x:v>
      </x:c>
      <x:c r="J190" s="16" t="str">
        <x:v>conditional; direct; supporting | conditional; direct; supporting</x:v>
      </x:c>
      <x:c r="K190" s="16" t="str">
        <x:v>OWASP_ASVS; OWASP_WSTG; OWASP_TOP10; NIST_800_53; ISO27002; TLS_RFC8446; TLS_BCP; FIPS1403</x:v>
      </x:c>
      <x:c r="L190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90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90" s="16" t="str">
        <x:v>not_assessed</x:v>
      </x:c>
      <x:c r="O190" s="16" t="str"/>
      <x:c r="P190" s="18" t="str"/>
      <x:c r="Q190" s="16" t="str"/>
      <x:c r="R190" s="16" t="str"/>
      <x:c r="S190" s="16" t="str"/>
      <x:c r="T190" s="18" t="str"/>
      <x:c r="U190" s="16" t="str"/>
      <x:c r="V190" s="16" t="n">
        <x:v>0</x:v>
      </x:c>
    </x:row>
    <x:row r="191">
      <x:c r="A191" s="16" t="str">
        <x:v>FWPRO-CRYPTO-013</x:v>
      </x:c>
      <x:c r="B191" s="16" t="str">
        <x:v>CRYPTO</x:v>
      </x:c>
      <x:c r="C191" s="16" t="str">
        <x:v>Cryptography, certificates and secret management</x:v>
      </x:c>
      <x:c r="D191" s="16" t="str">
        <x:v>Prevent tokens and secrets from appearing in query strings, referer headers, telemetry and reports.</x:v>
      </x:c>
      <x:c r="E191" s="16" t="str">
        <x:v>A repeatable, bounded check produces current sanitized evidence for this control, or explicitly marks it blocked/not-tested. Finding absence alone is not proof of compliance. Control objective: Prevent tokens and secrets from appearing in query strings, referer headers, telemetry and reports.</x:v>
      </x:c>
      <x:c r="F191" s="16" t="str">
        <x:v>Timestamped HTTP/browser observation, sanitized response/request metadata, scanner version and rule ID.</x:v>
      </x:c>
      <x:c r="G191" s="16" t="str">
        <x:v>automated_passive</x:v>
      </x:c>
      <x:c r="H191" s="16" t="str">
        <x:v>P0</x:v>
      </x:c>
      <x:c r="I191" s="16" t="str">
        <x:v>core</x:v>
      </x:c>
      <x:c r="J191" s="16" t="str">
        <x:v>conditional; direct; supporting | conditional; direct; supporting</x:v>
      </x:c>
      <x:c r="K191" s="16" t="str">
        <x:v>OWASP_ASVS; OWASP_WSTG; OWASP_TOP10; NIST_800_53; ISO27002; TLS_RFC8446; TLS_BCP; FIPS1403</x:v>
      </x:c>
      <x:c r="L191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91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91" s="16" t="str">
        <x:v>not_assessed</x:v>
      </x:c>
      <x:c r="O191" s="16" t="str"/>
      <x:c r="P191" s="18" t="str"/>
      <x:c r="Q191" s="16" t="str"/>
      <x:c r="R191" s="16" t="str"/>
      <x:c r="S191" s="16" t="str"/>
      <x:c r="T191" s="18" t="str"/>
      <x:c r="U191" s="16" t="str"/>
      <x:c r="V191" s="16" t="n">
        <x:v>0</x:v>
      </x:c>
    </x:row>
    <x:row r="192">
      <x:c r="A192" s="16" t="str">
        <x:v>FWPRO-CRYPTO-014</x:v>
      </x:c>
      <x:c r="B192" s="16" t="str">
        <x:v>CRYPTO</x:v>
      </x:c>
      <x:c r="C192" s="16" t="str">
        <x:v>Cryptography, certificates and secret management</x:v>
      </x:c>
      <x:c r="D192" s="16" t="str">
        <x:v>Define handling for certificates, signing keys and API tokens exposed in browser-delivered assets.</x:v>
      </x:c>
      <x:c r="E192" s="16" t="str">
        <x:v>A repeatable, bounded check produces current sanitized evidence for this control, or explicitly marks it blocked/not-tested. Finding absence alone is not proof of compliance. Control objective: Define handling for certificates, signing keys and API tokens exposed in browser-delivered assets.</x:v>
      </x:c>
      <x:c r="F192" s="16" t="str">
        <x:v>Timestamped HTTP/browser observation, sanitized response/request metadata, scanner version and rule ID.</x:v>
      </x:c>
      <x:c r="G192" s="16" t="str">
        <x:v>automated_passive</x:v>
      </x:c>
      <x:c r="H192" s="16" t="str">
        <x:v>P0</x:v>
      </x:c>
      <x:c r="I192" s="16" t="str">
        <x:v>core</x:v>
      </x:c>
      <x:c r="J192" s="16" t="str">
        <x:v>conditional; direct; supporting | conditional; direct; supporting</x:v>
      </x:c>
      <x:c r="K192" s="16" t="str">
        <x:v>OWASP_ASVS; OWASP_WSTG; OWASP_TOP10; NIST_800_53; ISO27002; TLS_RFC8446; TLS_BCP; FIPS1403</x:v>
      </x:c>
      <x:c r="L192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92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92" s="16" t="str">
        <x:v>not_assessed</x:v>
      </x:c>
      <x:c r="O192" s="16" t="str"/>
      <x:c r="P192" s="18" t="str"/>
      <x:c r="Q192" s="16" t="str"/>
      <x:c r="R192" s="16" t="str"/>
      <x:c r="S192" s="16" t="str"/>
      <x:c r="T192" s="18" t="str"/>
      <x:c r="U192" s="16" t="str"/>
      <x:c r="V192" s="16" t="n">
        <x:v>0</x:v>
      </x:c>
    </x:row>
    <x:row r="193">
      <x:c r="A193" s="16" t="str">
        <x:v>FWPRO-CRYPTO-015</x:v>
      </x:c>
      <x:c r="B193" s="16" t="str">
        <x:v>CRYPTO</x:v>
      </x:c>
      <x:c r="C193" s="16" t="str">
        <x:v>Cryptography, certificates and secret management</x:v>
      </x:c>
      <x:c r="D193" s="16" t="str">
        <x:v>Use validated cryptographic modules only when FIPS or another validation requirement explicitly applies.</x:v>
      </x:c>
      <x:c r="E193" s="16" t="str">
        <x:v>A repeatable, bounded check produces current sanitized evidence for this control, or explicitly marks it blocked/not-tested. Finding absence alone is not proof of compliance. Control objective: Use validated cryptographic modules only when FIPS or another validation requirement explicitly applies.</x:v>
      </x:c>
      <x:c r="F193" s="16" t="str">
        <x:v>Timestamped HTTP/browser observation, sanitized response/request metadata, scanner version and rule ID.</x:v>
      </x:c>
      <x:c r="G193" s="16" t="str">
        <x:v>automated_passive</x:v>
      </x:c>
      <x:c r="H193" s="16" t="str">
        <x:v>P0</x:v>
      </x:c>
      <x:c r="I193" s="16" t="str">
        <x:v>core</x:v>
      </x:c>
      <x:c r="J193" s="16" t="str">
        <x:v>conditional; direct; supporting | conditional; direct; supporting</x:v>
      </x:c>
      <x:c r="K193" s="16" t="str">
        <x:v>OWASP_ASVS; OWASP_WSTG; OWASP_TOP10; NIST_800_53; ISO27002; TLS_RFC8446; TLS_BCP; FIPS1403</x:v>
      </x:c>
      <x:c r="L193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93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93" s="16" t="str">
        <x:v>not_assessed</x:v>
      </x:c>
      <x:c r="O193" s="16" t="str"/>
      <x:c r="P193" s="18" t="str"/>
      <x:c r="Q193" s="16" t="str"/>
      <x:c r="R193" s="16" t="str"/>
      <x:c r="S193" s="16" t="str"/>
      <x:c r="T193" s="18" t="str"/>
      <x:c r="U193" s="16" t="str"/>
      <x:c r="V193" s="16" t="n">
        <x:v>0</x:v>
      </x:c>
    </x:row>
    <x:row r="194">
      <x:c r="A194" s="16" t="str">
        <x:v>FWPRO-CRYPTO-016</x:v>
      </x:c>
      <x:c r="B194" s="16" t="str">
        <x:v>CRYPTO</x:v>
      </x:c>
      <x:c r="C194" s="16" t="str">
        <x:v>Cryptography, certificates and secret management</x:v>
      </x:c>
      <x:c r="D194" s="16" t="str">
        <x:v>Monitor certificate/key expiry and test renewal before production expiry dates.</x:v>
      </x:c>
      <x:c r="E194" s="16" t="str">
        <x:v>A repeatable, bounded check produces current sanitized evidence for this control, or explicitly marks it blocked/not-tested. Finding absence alone is not proof of compliance. Control objective: Monitor certificate/key expiry and test renewal before production expiry dates.</x:v>
      </x:c>
      <x:c r="F194" s="16" t="str">
        <x:v>Timestamped HTTP/browser observation, sanitized response/request metadata, scanner version and rule ID.</x:v>
      </x:c>
      <x:c r="G194" s="16" t="str">
        <x:v>automated_passive</x:v>
      </x:c>
      <x:c r="H194" s="16" t="str">
        <x:v>P0</x:v>
      </x:c>
      <x:c r="I194" s="16" t="str">
        <x:v>core</x:v>
      </x:c>
      <x:c r="J194" s="16" t="str">
        <x:v>conditional; direct; supporting | conditional; direct; supporting</x:v>
      </x:c>
      <x:c r="K194" s="16" t="str">
        <x:v>OWASP_ASVS; OWASP_WSTG; OWASP_TOP10; NIST_800_53; ISO27002; TLS_RFC8446; TLS_BCP; FIPS1403</x:v>
      </x:c>
      <x:c r="L194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94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94" s="16" t="str">
        <x:v>not_assessed</x:v>
      </x:c>
      <x:c r="O194" s="16" t="str"/>
      <x:c r="P194" s="18" t="str"/>
      <x:c r="Q194" s="16" t="str"/>
      <x:c r="R194" s="16" t="str"/>
      <x:c r="S194" s="16" t="str"/>
      <x:c r="T194" s="18" t="str"/>
      <x:c r="U194" s="16" t="str"/>
      <x:c r="V194" s="16" t="n">
        <x:v>0</x:v>
      </x:c>
    </x:row>
    <x:row r="195">
      <x:c r="A195" s="16" t="str">
        <x:v>FWPRO-CRYPTO-017</x:v>
      </x:c>
      <x:c r="B195" s="16" t="str">
        <x:v>CRYPTO</x:v>
      </x:c>
      <x:c r="C195" s="16" t="str">
        <x:v>Cryptography, certificates and secret management</x:v>
      </x:c>
      <x:c r="D195" s="16" t="str">
        <x:v>Test secure failure behavior when key management or cryptographic services are unavailable.</x:v>
      </x:c>
      <x:c r="E195" s="16" t="str">
        <x:v>A repeatable, bounded check produces current sanitized evidence for this control, or explicitly marks it blocked/not-tested. Finding absence alone is not proof of compliance. Control objective: Test secure failure behavior when key management or cryptographic services are unavailable.</x:v>
      </x:c>
      <x:c r="F195" s="16" t="str">
        <x:v>Timestamped HTTP/browser observation, sanitized response/request metadata, scanner version and rule ID.</x:v>
      </x:c>
      <x:c r="G195" s="16" t="str">
        <x:v>automated_passive</x:v>
      </x:c>
      <x:c r="H195" s="16" t="str">
        <x:v>P0</x:v>
      </x:c>
      <x:c r="I195" s="16" t="str">
        <x:v>core</x:v>
      </x:c>
      <x:c r="J195" s="16" t="str">
        <x:v>conditional; direct; supporting | conditional; direct; supporting</x:v>
      </x:c>
      <x:c r="K195" s="16" t="str">
        <x:v>OWASP_ASVS; OWASP_WSTG; OWASP_TOP10; NIST_800_53; ISO27002; TLS_RFC8446; TLS_BCP; FIPS1403</x:v>
      </x:c>
      <x:c r="L195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95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95" s="16" t="str">
        <x:v>not_assessed</x:v>
      </x:c>
      <x:c r="O195" s="16" t="str"/>
      <x:c r="P195" s="18" t="str"/>
      <x:c r="Q195" s="16" t="str"/>
      <x:c r="R195" s="16" t="str"/>
      <x:c r="S195" s="16" t="str"/>
      <x:c r="T195" s="18" t="str"/>
      <x:c r="U195" s="16" t="str"/>
      <x:c r="V195" s="16" t="n">
        <x:v>0</x:v>
      </x:c>
    </x:row>
    <x:row r="196">
      <x:c r="A196" s="16" t="str">
        <x:v>FWPRO-CRYPTO-018</x:v>
      </x:c>
      <x:c r="B196" s="16" t="str">
        <x:v>CRYPTO</x:v>
      </x:c>
      <x:c r="C196" s="16" t="str">
        <x:v>Cryptography, certificates and secret management</x:v>
      </x:c>
      <x:c r="D196" s="16" t="str">
        <x:v>Record TLS settings and certificate chain evidence with time, hostname and scanner version.</x:v>
      </x:c>
      <x:c r="E196" s="16" t="str">
        <x:v>A repeatable, bounded check produces current sanitized evidence for this control, or explicitly marks it blocked/not-tested. Finding absence alone is not proof of compliance. Control objective: Record TLS settings and certificate chain evidence with time, hostname and scanner version.</x:v>
      </x:c>
      <x:c r="F196" s="16" t="str">
        <x:v>Timestamped HTTP/browser observation, sanitized response/request metadata, scanner version and rule ID.</x:v>
      </x:c>
      <x:c r="G196" s="16" t="str">
        <x:v>automated_passive</x:v>
      </x:c>
      <x:c r="H196" s="16" t="str">
        <x:v>P0</x:v>
      </x:c>
      <x:c r="I196" s="16" t="str">
        <x:v>core</x:v>
      </x:c>
      <x:c r="J196" s="16" t="str">
        <x:v>conditional; direct; supporting | conditional; direct; supporting</x:v>
      </x:c>
      <x:c r="K196" s="16" t="str">
        <x:v>OWASP_ASVS; OWASP_WSTG; OWASP_TOP10; NIST_800_53; ISO27002; TLS_RFC8446; TLS_BCP; FIPS1403</x:v>
      </x:c>
      <x:c r="L196" s="16" t="str">
        <x:v>OWASP Application Security Verification Standard (5.0.0 (stable)); OWASP Web Security Testing Guide (v4.2 (current stable)); OWASP Top 10 (2025 (released)); NIST SP 800-53 Security and Privacy Controls (Rev. 5 + current errata); ISO/IEC 27002 (2022); IETF RFC 8446 TLS 1.3 (2018, current specification with updates); IETF RFC 9325 and updates including RFC 9852 (RFC 9852 (July 2026) updates BCP 195); FIPS 140-3 Cryptographic Module Validation (2019 standard, CMVP program)</x:v>
      </x:c>
      <x:c r="M196" s="16" t="str">
        <x:v>https://owasp.org/www-project-application-security-verification-standard/; https://owasp.org/www-project-web-security-testing-guide/v42/; https://owasp.org/projects/top-ten; https://csrc.nist.gov/pubs/sp/800/53/r5/upd1/final; https://www.iso.org/standard/75652.html; https://www.rfc-editor.org/rfc/rfc8446.html; https://www.rfc-editor.org/rfc/rfc9852.html; https://csrc.nist.gov/pubs/fips/140-3/final</x:v>
      </x:c>
      <x:c r="N196" s="16" t="str">
        <x:v>not_assessed</x:v>
      </x:c>
      <x:c r="O196" s="16" t="str"/>
      <x:c r="P196" s="18" t="str"/>
      <x:c r="Q196" s="16" t="str"/>
      <x:c r="R196" s="16" t="str"/>
      <x:c r="S196" s="16" t="str"/>
      <x:c r="T196" s="18" t="str"/>
      <x:c r="U196" s="16" t="str"/>
      <x:c r="V196" s="16" t="n">
        <x:v>0</x:v>
      </x:c>
    </x:row>
    <x:row r="197">
      <x:c r="A197" s="16" t="str">
        <x:v>FWPRO-DATA-001</x:v>
      </x:c>
      <x:c r="B197" s="16" t="str">
        <x:v>DATA</x:v>
      </x:c>
      <x:c r="C197" s="16" t="str">
        <x:v>Data protection, privacy and retention</x:v>
      </x:c>
      <x:c r="D197" s="16" t="str">
        <x:v>Maintain data inventory and classification for personal, payment, authentication and business-sensitive information.</x:v>
      </x:c>
      <x:c r="E197" s="16" t="str">
        <x:v>An accountable owner/reviewer confirms the control using current artifacts or reproducible test steps; exceptions have rationale, approver, compensating control and expiry. Control objective: Maintain data inventory and classification for personal, payment, authentication and business-sensitive information.</x:v>
      </x:c>
      <x:c r="F197" s="16" t="str">
        <x:v>Reviewer steps, expected/observed result, sanitized evidence, impact, reviewer and approval/ticket.</x:v>
      </x:c>
      <x:c r="G197" s="16" t="str">
        <x:v>manual_review</x:v>
      </x:c>
      <x:c r="H197" s="16" t="str">
        <x:v>P1</x:v>
      </x:c>
      <x:c r="I197" s="16" t="str">
        <x:v>core</x:v>
      </x:c>
      <x:c r="J197" s="16" t="str">
        <x:v>conditional; direct; supporting | conditional; direct; supporting</x:v>
      </x:c>
      <x:c r="K197" s="16" t="str">
        <x:v>OWASP_ASVS; NIST_PRIVACY; NIST_800_53; ISO27701; GDPR; HIPAA; PCI_DSS</x:v>
      </x:c>
      <x:c r="L197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197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197" s="16" t="str">
        <x:v>not_assessed</x:v>
      </x:c>
      <x:c r="O197" s="16" t="str"/>
      <x:c r="P197" s="18" t="str"/>
      <x:c r="Q197" s="16" t="str"/>
      <x:c r="R197" s="16" t="str"/>
      <x:c r="S197" s="16" t="str"/>
      <x:c r="T197" s="18" t="str"/>
      <x:c r="U197" s="16" t="str"/>
      <x:c r="V197" s="16" t="n">
        <x:v>0</x:v>
      </x:c>
    </x:row>
    <x:row r="198">
      <x:c r="A198" s="16" t="str">
        <x:v>FWPRO-DATA-002</x:v>
      </x:c>
      <x:c r="B198" s="16" t="str">
        <x:v>DATA</x:v>
      </x:c>
      <x:c r="C198" s="16" t="str">
        <x:v>Data protection, privacy and retention</x:v>
      </x:c>
      <x:c r="D198" s="16" t="str">
        <x:v>Minimize personal and sensitive data collected, returned, logged and retained.</x:v>
      </x:c>
      <x:c r="E198" s="16" t="str">
        <x:v>An accountable owner/reviewer confirms the control using current artifacts or reproducible test steps; exceptions have rationale, approver, compensating control and expiry. Control objective: Minimize personal and sensitive data collected, returned, logged and retained.</x:v>
      </x:c>
      <x:c r="F198" s="16" t="str">
        <x:v>Reviewer steps, expected/observed result, sanitized evidence, impact, reviewer and approval/ticket.</x:v>
      </x:c>
      <x:c r="G198" s="16" t="str">
        <x:v>manual_review</x:v>
      </x:c>
      <x:c r="H198" s="16" t="str">
        <x:v>P1</x:v>
      </x:c>
      <x:c r="I198" s="16" t="str">
        <x:v>core</x:v>
      </x:c>
      <x:c r="J198" s="16" t="str">
        <x:v>conditional; direct; supporting | conditional; direct; supporting</x:v>
      </x:c>
      <x:c r="K198" s="16" t="str">
        <x:v>OWASP_ASVS; NIST_PRIVACY; NIST_800_53; ISO27701; GDPR; HIPAA; PCI_DSS</x:v>
      </x:c>
      <x:c r="L198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198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198" s="16" t="str">
        <x:v>not_assessed</x:v>
      </x:c>
      <x:c r="O198" s="16" t="str"/>
      <x:c r="P198" s="18" t="str"/>
      <x:c r="Q198" s="16" t="str"/>
      <x:c r="R198" s="16" t="str"/>
      <x:c r="S198" s="16" t="str"/>
      <x:c r="T198" s="18" t="str"/>
      <x:c r="U198" s="16" t="str"/>
      <x:c r="V198" s="16" t="n">
        <x:v>0</x:v>
      </x:c>
    </x:row>
    <x:row r="199">
      <x:c r="A199" s="16" t="str">
        <x:v>FWPRO-DATA-003</x:v>
      </x:c>
      <x:c r="B199" s="16" t="str">
        <x:v>DATA</x:v>
      </x:c>
      <x:c r="C199" s="16" t="str">
        <x:v>Data protection, privacy and retention</x:v>
      </x:c>
      <x:c r="D199" s="16" t="str">
        <x:v>Document data purpose, legal basis and retention requirements where privacy law applies.</x:v>
      </x:c>
      <x:c r="E199" s="16" t="str">
        <x:v>An accountable owner/reviewer confirms the control using current artifacts or reproducible test steps; exceptions have rationale, approver, compensating control and expiry. Control objective: Document data purpose, legal basis and retention requirements where privacy law applies.</x:v>
      </x:c>
      <x:c r="F199" s="16" t="str">
        <x:v>Reviewer steps, expected/observed result, sanitized evidence, impact, reviewer and approval/ticket.</x:v>
      </x:c>
      <x:c r="G199" s="16" t="str">
        <x:v>manual_review</x:v>
      </x:c>
      <x:c r="H199" s="16" t="str">
        <x:v>P1</x:v>
      </x:c>
      <x:c r="I199" s="16" t="str">
        <x:v>core</x:v>
      </x:c>
      <x:c r="J199" s="16" t="str">
        <x:v>conditional; direct; supporting | conditional; direct; supporting</x:v>
      </x:c>
      <x:c r="K199" s="16" t="str">
        <x:v>OWASP_ASVS; NIST_PRIVACY; NIST_800_53; ISO27701; GDPR; HIPAA; PCI_DSS</x:v>
      </x:c>
      <x:c r="L199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199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199" s="16" t="str">
        <x:v>not_assessed</x:v>
      </x:c>
      <x:c r="O199" s="16" t="str"/>
      <x:c r="P199" s="18" t="str"/>
      <x:c r="Q199" s="16" t="str"/>
      <x:c r="R199" s="16" t="str"/>
      <x:c r="S199" s="16" t="str"/>
      <x:c r="T199" s="18" t="str"/>
      <x:c r="U199" s="16" t="str"/>
      <x:c r="V199" s="16" t="n">
        <x:v>0</x:v>
      </x:c>
    </x:row>
    <x:row r="200">
      <x:c r="A200" s="16" t="str">
        <x:v>FWPRO-DATA-004</x:v>
      </x:c>
      <x:c r="B200" s="16" t="str">
        <x:v>DATA</x:v>
      </x:c>
      <x:c r="C200" s="16" t="str">
        <x:v>Data protection, privacy and retention</x:v>
      </x:c>
      <x:c r="D200" s="16" t="str">
        <x:v>Limit access to personal and regulated data by role, purpose and tenant.</x:v>
      </x:c>
      <x:c r="E200" s="16" t="str">
        <x:v>An accountable owner/reviewer confirms the control using current artifacts or reproducible test steps; exceptions have rationale, approver, compensating control and expiry. Control objective: Limit access to personal and regulated data by role, purpose and tenant.</x:v>
      </x:c>
      <x:c r="F200" s="16" t="str">
        <x:v>Reviewer steps, expected/observed result, sanitized evidence, impact, reviewer and approval/ticket.</x:v>
      </x:c>
      <x:c r="G200" s="16" t="str">
        <x:v>manual_review</x:v>
      </x:c>
      <x:c r="H200" s="16" t="str">
        <x:v>P1</x:v>
      </x:c>
      <x:c r="I200" s="16" t="str">
        <x:v>core</x:v>
      </x:c>
      <x:c r="J200" s="16" t="str">
        <x:v>conditional; direct; supporting | conditional; direct; supporting</x:v>
      </x:c>
      <x:c r="K200" s="16" t="str">
        <x:v>OWASP_ASVS; NIST_PRIVACY; NIST_800_53; ISO27701; GDPR; HIPAA; PCI_DSS</x:v>
      </x:c>
      <x:c r="L200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0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0" s="16" t="str">
        <x:v>not_assessed</x:v>
      </x:c>
      <x:c r="O200" s="16" t="str"/>
      <x:c r="P200" s="18" t="str"/>
      <x:c r="Q200" s="16" t="str"/>
      <x:c r="R200" s="16" t="str"/>
      <x:c r="S200" s="16" t="str"/>
      <x:c r="T200" s="18" t="str"/>
      <x:c r="U200" s="16" t="str"/>
      <x:c r="V200" s="16" t="n">
        <x:v>0</x:v>
      </x:c>
    </x:row>
    <x:row r="201">
      <x:c r="A201" s="16" t="str">
        <x:v>FWPRO-DATA-005</x:v>
      </x:c>
      <x:c r="B201" s="16" t="str">
        <x:v>DATA</x:v>
      </x:c>
      <x:c r="C201" s="16" t="str">
        <x:v>Data protection, privacy and retention</x:v>
      </x:c>
      <x:c r="D201" s="16" t="str">
        <x:v>Mask or redact sensitive data in logs, telemetry, error pages, exports and security reports.</x:v>
      </x:c>
      <x:c r="E201" s="16" t="str">
        <x:v>An accountable owner/reviewer confirms the control using current artifacts or reproducible test steps; exceptions have rationale, approver, compensating control and expiry. Control objective: Mask or redact sensitive data in logs, telemetry, error pages, exports and security reports.</x:v>
      </x:c>
      <x:c r="F201" s="16" t="str">
        <x:v>Reviewer steps, expected/observed result, sanitized evidence, impact, reviewer and approval/ticket.</x:v>
      </x:c>
      <x:c r="G201" s="16" t="str">
        <x:v>manual_review</x:v>
      </x:c>
      <x:c r="H201" s="16" t="str">
        <x:v>P1</x:v>
      </x:c>
      <x:c r="I201" s="16" t="str">
        <x:v>core</x:v>
      </x:c>
      <x:c r="J201" s="16" t="str">
        <x:v>conditional; direct; supporting | conditional; direct; supporting</x:v>
      </x:c>
      <x:c r="K201" s="16" t="str">
        <x:v>OWASP_ASVS; NIST_PRIVACY; NIST_800_53; ISO27701; GDPR; HIPAA; PCI_DSS</x:v>
      </x:c>
      <x:c r="L201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1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1" s="16" t="str">
        <x:v>not_assessed</x:v>
      </x:c>
      <x:c r="O201" s="16" t="str"/>
      <x:c r="P201" s="18" t="str"/>
      <x:c r="Q201" s="16" t="str"/>
      <x:c r="R201" s="16" t="str"/>
      <x:c r="S201" s="16" t="str"/>
      <x:c r="T201" s="18" t="str"/>
      <x:c r="U201" s="16" t="str"/>
      <x:c r="V201" s="16" t="n">
        <x:v>0</x:v>
      </x:c>
    </x:row>
    <x:row r="202">
      <x:c r="A202" s="16" t="str">
        <x:v>FWPRO-DATA-006</x:v>
      </x:c>
      <x:c r="B202" s="16" t="str">
        <x:v>DATA</x:v>
      </x:c>
      <x:c r="C202" s="16" t="str">
        <x:v>Data protection, privacy and retention</x:v>
      </x:c>
      <x:c r="D202" s="16" t="str">
        <x:v>Verify deletion and retention processes for user records, exports, backups and derived artifacts.</x:v>
      </x:c>
      <x:c r="E202" s="16" t="str">
        <x:v>An accountable owner/reviewer confirms the control using current artifacts or reproducible test steps; exceptions have rationale, approver, compensating control and expiry. Control objective: Verify deletion and retention processes for user records, exports, backups and derived artifacts.</x:v>
      </x:c>
      <x:c r="F202" s="16" t="str">
        <x:v>Reviewer steps, expected/observed result, sanitized evidence, impact, reviewer and approval/ticket.</x:v>
      </x:c>
      <x:c r="G202" s="16" t="str">
        <x:v>manual_review</x:v>
      </x:c>
      <x:c r="H202" s="16" t="str">
        <x:v>P1</x:v>
      </x:c>
      <x:c r="I202" s="16" t="str">
        <x:v>core</x:v>
      </x:c>
      <x:c r="J202" s="16" t="str">
        <x:v>conditional; direct; supporting | conditional; direct; supporting</x:v>
      </x:c>
      <x:c r="K202" s="16" t="str">
        <x:v>OWASP_ASVS; NIST_PRIVACY; NIST_800_53; ISO27701; GDPR; HIPAA; PCI_DSS</x:v>
      </x:c>
      <x:c r="L202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2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2" s="16" t="str">
        <x:v>not_assessed</x:v>
      </x:c>
      <x:c r="O202" s="16" t="str"/>
      <x:c r="P202" s="18" t="str"/>
      <x:c r="Q202" s="16" t="str"/>
      <x:c r="R202" s="16" t="str"/>
      <x:c r="S202" s="16" t="str"/>
      <x:c r="T202" s="18" t="str"/>
      <x:c r="U202" s="16" t="str"/>
      <x:c r="V202" s="16" t="n">
        <x:v>0</x:v>
      </x:c>
    </x:row>
    <x:row r="203">
      <x:c r="A203" s="16" t="str">
        <x:v>FWPRO-DATA-007</x:v>
      </x:c>
      <x:c r="B203" s="16" t="str">
        <x:v>DATA</x:v>
      </x:c>
      <x:c r="C203" s="16" t="str">
        <x:v>Data protection, privacy and retention</x:v>
      </x:c>
      <x:c r="D203" s="16" t="str">
        <x:v>Ensure exports and downloadable reports enforce authorization and expire or revoke access when needed.</x:v>
      </x:c>
      <x:c r="E203" s="16" t="str">
        <x:v>An accountable owner/reviewer confirms the control using current artifacts or reproducible test steps; exceptions have rationale, approver, compensating control and expiry. Control objective: Ensure exports and downloadable reports enforce authorization and expire or revoke access when needed.</x:v>
      </x:c>
      <x:c r="F203" s="16" t="str">
        <x:v>Reviewer steps, expected/observed result, sanitized evidence, impact, reviewer and approval/ticket.</x:v>
      </x:c>
      <x:c r="G203" s="16" t="str">
        <x:v>manual_review</x:v>
      </x:c>
      <x:c r="H203" s="16" t="str">
        <x:v>P1</x:v>
      </x:c>
      <x:c r="I203" s="16" t="str">
        <x:v>core</x:v>
      </x:c>
      <x:c r="J203" s="16" t="str">
        <x:v>conditional; direct; supporting | conditional; direct; supporting</x:v>
      </x:c>
      <x:c r="K203" s="16" t="str">
        <x:v>OWASP_ASVS; NIST_PRIVACY; NIST_800_53; ISO27701; GDPR; HIPAA; PCI_DSS</x:v>
      </x:c>
      <x:c r="L203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3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3" s="16" t="str">
        <x:v>not_assessed</x:v>
      </x:c>
      <x:c r="O203" s="16" t="str"/>
      <x:c r="P203" s="18" t="str"/>
      <x:c r="Q203" s="16" t="str"/>
      <x:c r="R203" s="16" t="str"/>
      <x:c r="S203" s="16" t="str"/>
      <x:c r="T203" s="18" t="str"/>
      <x:c r="U203" s="16" t="str"/>
      <x:c r="V203" s="16" t="n">
        <x:v>0</x:v>
      </x:c>
    </x:row>
    <x:row r="204">
      <x:c r="A204" s="16" t="str">
        <x:v>FWPRO-DATA-008</x:v>
      </x:c>
      <x:c r="B204" s="16" t="str">
        <x:v>DATA</x:v>
      </x:c>
      <x:c r="C204" s="16" t="str">
        <x:v>Data protection, privacy and retention</x:v>
      </x:c>
      <x:c r="D204" s="16" t="str">
        <x:v>Use pseudonymization or aggregation in test fixtures wherever practical.</x:v>
      </x:c>
      <x:c r="E204" s="16" t="str">
        <x:v>An accountable owner/reviewer confirms the control using current artifacts or reproducible test steps; exceptions have rationale, approver, compensating control and expiry. Control objective: Use pseudonymization or aggregation in test fixtures wherever practical.</x:v>
      </x:c>
      <x:c r="F204" s="16" t="str">
        <x:v>Reviewer steps, expected/observed result, sanitized evidence, impact, reviewer and approval/ticket.</x:v>
      </x:c>
      <x:c r="G204" s="16" t="str">
        <x:v>manual_review</x:v>
      </x:c>
      <x:c r="H204" s="16" t="str">
        <x:v>P1</x:v>
      </x:c>
      <x:c r="I204" s="16" t="str">
        <x:v>core</x:v>
      </x:c>
      <x:c r="J204" s="16" t="str">
        <x:v>conditional; direct; supporting | conditional; direct; supporting</x:v>
      </x:c>
      <x:c r="K204" s="16" t="str">
        <x:v>OWASP_ASVS; NIST_PRIVACY; NIST_800_53; ISO27701; GDPR; HIPAA; PCI_DSS</x:v>
      </x:c>
      <x:c r="L204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4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4" s="16" t="str">
        <x:v>not_assessed</x:v>
      </x:c>
      <x:c r="O204" s="16" t="str"/>
      <x:c r="P204" s="18" t="str"/>
      <x:c r="Q204" s="16" t="str"/>
      <x:c r="R204" s="16" t="str"/>
      <x:c r="S204" s="16" t="str"/>
      <x:c r="T204" s="18" t="str"/>
      <x:c r="U204" s="16" t="str"/>
      <x:c r="V204" s="16" t="n">
        <x:v>0</x:v>
      </x:c>
    </x:row>
    <x:row r="205">
      <x:c r="A205" s="16" t="str">
        <x:v>FWPRO-DATA-009</x:v>
      </x:c>
      <x:c r="B205" s="16" t="str">
        <x:v>DATA</x:v>
      </x:c>
      <x:c r="C205" s="16" t="str">
        <x:v>Data protection, privacy and retention</x:v>
      </x:c>
      <x:c r="D205" s="16" t="str">
        <x:v>Avoid production personal data in ordinary development/test environments.</x:v>
      </x:c>
      <x:c r="E205" s="16" t="str">
        <x:v>An accountable owner/reviewer confirms the control using current artifacts or reproducible test steps; exceptions have rationale, approver, compensating control and expiry. Control objective: Avoid production personal data in ordinary development/test environments.</x:v>
      </x:c>
      <x:c r="F205" s="16" t="str">
        <x:v>Reviewer steps, expected/observed result, sanitized evidence, impact, reviewer and approval/ticket.</x:v>
      </x:c>
      <x:c r="G205" s="16" t="str">
        <x:v>manual_review</x:v>
      </x:c>
      <x:c r="H205" s="16" t="str">
        <x:v>P1</x:v>
      </x:c>
      <x:c r="I205" s="16" t="str">
        <x:v>core</x:v>
      </x:c>
      <x:c r="J205" s="16" t="str">
        <x:v>conditional; direct; supporting | conditional; direct; supporting</x:v>
      </x:c>
      <x:c r="K205" s="16" t="str">
        <x:v>OWASP_ASVS; NIST_PRIVACY; NIST_800_53; ISO27701; GDPR; HIPAA; PCI_DSS</x:v>
      </x:c>
      <x:c r="L205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5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5" s="16" t="str">
        <x:v>not_assessed</x:v>
      </x:c>
      <x:c r="O205" s="16" t="str"/>
      <x:c r="P205" s="18" t="str"/>
      <x:c r="Q205" s="16" t="str"/>
      <x:c r="R205" s="16" t="str"/>
      <x:c r="S205" s="16" t="str"/>
      <x:c r="T205" s="18" t="str"/>
      <x:c r="U205" s="16" t="str"/>
      <x:c r="V205" s="16" t="n">
        <x:v>0</x:v>
      </x:c>
    </x:row>
    <x:row r="206">
      <x:c r="A206" s="16" t="str">
        <x:v>FWPRO-DATA-010</x:v>
      </x:c>
      <x:c r="B206" s="16" t="str">
        <x:v>DATA</x:v>
      </x:c>
      <x:c r="C206" s="16" t="str">
        <x:v>Data protection, privacy and retention</x:v>
      </x:c>
      <x:c r="D206" s="16" t="str">
        <x:v>Document processor/subprocessor roles, hosting locations and international transfers where applicable.</x:v>
      </x:c>
      <x:c r="E206" s="16" t="str">
        <x:v>An accountable owner/reviewer confirms the control using current artifacts or reproducible test steps; exceptions have rationale, approver, compensating control and expiry. Control objective: Document processor/subprocessor roles, hosting locations and international transfers where applicable.</x:v>
      </x:c>
      <x:c r="F206" s="16" t="str">
        <x:v>Reviewer steps, expected/observed result, sanitized evidence, impact, reviewer and approval/ticket.</x:v>
      </x:c>
      <x:c r="G206" s="16" t="str">
        <x:v>manual_review</x:v>
      </x:c>
      <x:c r="H206" s="16" t="str">
        <x:v>P1</x:v>
      </x:c>
      <x:c r="I206" s="16" t="str">
        <x:v>core</x:v>
      </x:c>
      <x:c r="J206" s="16" t="str">
        <x:v>conditional; direct; supporting | conditional; direct; supporting</x:v>
      </x:c>
      <x:c r="K206" s="16" t="str">
        <x:v>OWASP_ASVS; NIST_PRIVACY; NIST_800_53; ISO27701; GDPR; HIPAA; PCI_DSS</x:v>
      </x:c>
      <x:c r="L206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6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6" s="16" t="str">
        <x:v>not_assessed</x:v>
      </x:c>
      <x:c r="O206" s="16" t="str"/>
      <x:c r="P206" s="18" t="str"/>
      <x:c r="Q206" s="16" t="str"/>
      <x:c r="R206" s="16" t="str"/>
      <x:c r="S206" s="16" t="str"/>
      <x:c r="T206" s="18" t="str"/>
      <x:c r="U206" s="16" t="str"/>
      <x:c r="V206" s="16" t="n">
        <x:v>0</x:v>
      </x:c>
    </x:row>
    <x:row r="207">
      <x:c r="A207" s="16" t="str">
        <x:v>FWPRO-DATA-011</x:v>
      </x:c>
      <x:c r="B207" s="16" t="str">
        <x:v>DATA</x:v>
      </x:c>
      <x:c r="C207" s="16" t="str">
        <x:v>Data protection, privacy and retention</x:v>
      </x:c>
      <x:c r="D207" s="16" t="str">
        <x:v>Provide mechanisms for data-subject requests where legally required and applicable.</x:v>
      </x:c>
      <x:c r="E207" s="16" t="str">
        <x:v>An accountable owner/reviewer confirms the control using current artifacts or reproducible test steps; exceptions have rationale, approver, compensating control and expiry. Control objective: Provide mechanisms for data-subject requests where legally required and applicable.</x:v>
      </x:c>
      <x:c r="F207" s="16" t="str">
        <x:v>Reviewer steps, expected/observed result, sanitized evidence, impact, reviewer and approval/ticket.</x:v>
      </x:c>
      <x:c r="G207" s="16" t="str">
        <x:v>manual_review</x:v>
      </x:c>
      <x:c r="H207" s="16" t="str">
        <x:v>P1</x:v>
      </x:c>
      <x:c r="I207" s="16" t="str">
        <x:v>core</x:v>
      </x:c>
      <x:c r="J207" s="16" t="str">
        <x:v>conditional; direct; supporting | conditional; direct; supporting</x:v>
      </x:c>
      <x:c r="K207" s="16" t="str">
        <x:v>OWASP_ASVS; NIST_PRIVACY; NIST_800_53; ISO27701; GDPR; HIPAA; PCI_DSS</x:v>
      </x:c>
      <x:c r="L207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7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7" s="16" t="str">
        <x:v>not_assessed</x:v>
      </x:c>
      <x:c r="O207" s="16" t="str"/>
      <x:c r="P207" s="18" t="str"/>
      <x:c r="Q207" s="16" t="str"/>
      <x:c r="R207" s="16" t="str"/>
      <x:c r="S207" s="16" t="str"/>
      <x:c r="T207" s="18" t="str"/>
      <x:c r="U207" s="16" t="str"/>
      <x:c r="V207" s="16" t="n">
        <x:v>0</x:v>
      </x:c>
    </x:row>
    <x:row r="208">
      <x:c r="A208" s="16" t="str">
        <x:v>FWPRO-DATA-012</x:v>
      </x:c>
      <x:c r="B208" s="16" t="str">
        <x:v>DATA</x:v>
      </x:c>
      <x:c r="C208" s="16" t="str">
        <x:v>Data protection, privacy and retention</x:v>
      </x:c>
      <x:c r="D208" s="16" t="str">
        <x:v>Assess privacy risks for new high-risk processing and document DPIA decisions where required.</x:v>
      </x:c>
      <x:c r="E208" s="16" t="str">
        <x:v>An accountable owner/reviewer confirms the control using current artifacts or reproducible test steps; exceptions have rationale, approver, compensating control and expiry. Control objective: Assess privacy risks for new high-risk processing and document DPIA decisions where required.</x:v>
      </x:c>
      <x:c r="F208" s="16" t="str">
        <x:v>Reviewer steps, expected/observed result, sanitized evidence, impact, reviewer and approval/ticket.</x:v>
      </x:c>
      <x:c r="G208" s="16" t="str">
        <x:v>manual_review</x:v>
      </x:c>
      <x:c r="H208" s="16" t="str">
        <x:v>P1</x:v>
      </x:c>
      <x:c r="I208" s="16" t="str">
        <x:v>core</x:v>
      </x:c>
      <x:c r="J208" s="16" t="str">
        <x:v>conditional; direct; supporting | conditional; direct; supporting</x:v>
      </x:c>
      <x:c r="K208" s="16" t="str">
        <x:v>OWASP_ASVS; NIST_PRIVACY; NIST_800_53; ISO27701; GDPR; HIPAA; PCI_DSS</x:v>
      </x:c>
      <x:c r="L208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8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8" s="16" t="str">
        <x:v>not_assessed</x:v>
      </x:c>
      <x:c r="O208" s="16" t="str"/>
      <x:c r="P208" s="18" t="str"/>
      <x:c r="Q208" s="16" t="str"/>
      <x:c r="R208" s="16" t="str"/>
      <x:c r="S208" s="16" t="str"/>
      <x:c r="T208" s="18" t="str"/>
      <x:c r="U208" s="16" t="str"/>
      <x:c r="V208" s="16" t="n">
        <x:v>0</x:v>
      </x:c>
    </x:row>
    <x:row r="209">
      <x:c r="A209" s="16" t="str">
        <x:v>FWPRO-DATA-013</x:v>
      </x:c>
      <x:c r="B209" s="16" t="str">
        <x:v>DATA</x:v>
      </x:c>
      <x:c r="C209" s="16" t="str">
        <x:v>Data protection, privacy and retention</x:v>
      </x:c>
      <x:c r="D209" s="16" t="str">
        <x:v>Protect report files at rest and use a defined retention/deletion window.</x:v>
      </x:c>
      <x:c r="E209" s="16" t="str">
        <x:v>An accountable owner/reviewer confirms the control using current artifacts or reproducible test steps; exceptions have rationale, approver, compensating control and expiry. Control objective: Protect report files at rest and use a defined retention/deletion window.</x:v>
      </x:c>
      <x:c r="F209" s="16" t="str">
        <x:v>Reviewer steps, expected/observed result, sanitized evidence, impact, reviewer and approval/ticket.</x:v>
      </x:c>
      <x:c r="G209" s="16" t="str">
        <x:v>manual_review</x:v>
      </x:c>
      <x:c r="H209" s="16" t="str">
        <x:v>P1</x:v>
      </x:c>
      <x:c r="I209" s="16" t="str">
        <x:v>core</x:v>
      </x:c>
      <x:c r="J209" s="16" t="str">
        <x:v>conditional; direct; supporting | conditional; direct; supporting</x:v>
      </x:c>
      <x:c r="K209" s="16" t="str">
        <x:v>OWASP_ASVS; NIST_PRIVACY; NIST_800_53; ISO27701; GDPR; HIPAA; PCI_DSS</x:v>
      </x:c>
      <x:c r="L209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09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09" s="16" t="str">
        <x:v>not_assessed</x:v>
      </x:c>
      <x:c r="O209" s="16" t="str"/>
      <x:c r="P209" s="18" t="str"/>
      <x:c r="Q209" s="16" t="str"/>
      <x:c r="R209" s="16" t="str"/>
      <x:c r="S209" s="16" t="str"/>
      <x:c r="T209" s="18" t="str"/>
      <x:c r="U209" s="16" t="str"/>
      <x:c r="V209" s="16" t="n">
        <x:v>0</x:v>
      </x:c>
    </x:row>
    <x:row r="210">
      <x:c r="A210" s="16" t="str">
        <x:v>FWPRO-DATA-014</x:v>
      </x:c>
      <x:c r="B210" s="16" t="str">
        <x:v>DATA</x:v>
      </x:c>
      <x:c r="C210" s="16" t="str">
        <x:v>Data protection, privacy and retention</x:v>
      </x:c>
      <x:c r="D210" s="16" t="str">
        <x:v>Prevent secrets or high-sensitivity evidence from being included in analytics by default.</x:v>
      </x:c>
      <x:c r="E210" s="16" t="str">
        <x:v>An accountable owner/reviewer confirms the control using current artifacts or reproducible test steps; exceptions have rationale, approver, compensating control and expiry. Control objective: Prevent secrets or high-sensitivity evidence from being included in analytics by default.</x:v>
      </x:c>
      <x:c r="F210" s="16" t="str">
        <x:v>Reviewer steps, expected/observed result, sanitized evidence, impact, reviewer and approval/ticket.</x:v>
      </x:c>
      <x:c r="G210" s="16" t="str">
        <x:v>manual_review</x:v>
      </x:c>
      <x:c r="H210" s="16" t="str">
        <x:v>P1</x:v>
      </x:c>
      <x:c r="I210" s="16" t="str">
        <x:v>core</x:v>
      </x:c>
      <x:c r="J210" s="16" t="str">
        <x:v>conditional; direct; supporting | conditional; direct; supporting</x:v>
      </x:c>
      <x:c r="K210" s="16" t="str">
        <x:v>OWASP_ASVS; NIST_PRIVACY; NIST_800_53; ISO27701; GDPR; HIPAA; PCI_DSS</x:v>
      </x:c>
      <x:c r="L210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10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10" s="16" t="str">
        <x:v>not_assessed</x:v>
      </x:c>
      <x:c r="O210" s="16" t="str"/>
      <x:c r="P210" s="18" t="str"/>
      <x:c r="Q210" s="16" t="str"/>
      <x:c r="R210" s="16" t="str"/>
      <x:c r="S210" s="16" t="str"/>
      <x:c r="T210" s="18" t="str"/>
      <x:c r="U210" s="16" t="str"/>
      <x:c r="V210" s="16" t="n">
        <x:v>0</x:v>
      </x:c>
    </x:row>
    <x:row r="211">
      <x:c r="A211" s="16" t="str">
        <x:v>FWPRO-DATA-015</x:v>
      </x:c>
      <x:c r="B211" s="16" t="str">
        <x:v>DATA</x:v>
      </x:c>
      <x:c r="C211" s="16" t="str">
        <x:v>Data protection, privacy and retention</x:v>
      </x:c>
      <x:c r="D211" s="16" t="str">
        <x:v>Define rules for handling accidental exposure of credentials, health records, payment data or other sensitive evidence.</x:v>
      </x:c>
      <x:c r="E211" s="16" t="str">
        <x:v>An accountable owner/reviewer confirms the control using current artifacts or reproducible test steps; exceptions have rationale, approver, compensating control and expiry. Control objective: Define rules for handling accidental exposure of credentials, health records, payment data or other sensitive evidence.</x:v>
      </x:c>
      <x:c r="F211" s="16" t="str">
        <x:v>Reviewer steps, expected/observed result, sanitized evidence, impact, reviewer and approval/ticket.</x:v>
      </x:c>
      <x:c r="G211" s="16" t="str">
        <x:v>manual_review</x:v>
      </x:c>
      <x:c r="H211" s="16" t="str">
        <x:v>P1</x:v>
      </x:c>
      <x:c r="I211" s="16" t="str">
        <x:v>core</x:v>
      </x:c>
      <x:c r="J211" s="16" t="str">
        <x:v>conditional; direct; supporting | conditional; direct; supporting</x:v>
      </x:c>
      <x:c r="K211" s="16" t="str">
        <x:v>OWASP_ASVS; NIST_PRIVACY; NIST_800_53; ISO27701; GDPR; HIPAA; PCI_DSS</x:v>
      </x:c>
      <x:c r="L211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11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11" s="16" t="str">
        <x:v>not_assessed</x:v>
      </x:c>
      <x:c r="O211" s="16" t="str"/>
      <x:c r="P211" s="18" t="str"/>
      <x:c r="Q211" s="16" t="str"/>
      <x:c r="R211" s="16" t="str"/>
      <x:c r="S211" s="16" t="str"/>
      <x:c r="T211" s="18" t="str"/>
      <x:c r="U211" s="16" t="str"/>
      <x:c r="V211" s="16" t="n">
        <x:v>0</x:v>
      </x:c>
    </x:row>
    <x:row r="212">
      <x:c r="A212" s="16" t="str">
        <x:v>FWPRO-DATA-016</x:v>
      </x:c>
      <x:c r="B212" s="16" t="str">
        <x:v>DATA</x:v>
      </x:c>
      <x:c r="C212" s="16" t="str">
        <x:v>Data protection, privacy and retention</x:v>
      </x:c>
      <x:c r="D212" s="16" t="str">
        <x:v>Review response bodies and browser storage for unintended data disclosure with authorized accounts.</x:v>
      </x:c>
      <x:c r="E212" s="16" t="str">
        <x:v>An accountable owner/reviewer confirms the control using current artifacts or reproducible test steps; exceptions have rationale, approver, compensating control and expiry. Control objective: Review response bodies and browser storage for unintended data disclosure with authorized accounts.</x:v>
      </x:c>
      <x:c r="F212" s="16" t="str">
        <x:v>Reviewer steps, expected/observed result, sanitized evidence, impact, reviewer and approval/ticket.</x:v>
      </x:c>
      <x:c r="G212" s="16" t="str">
        <x:v>manual_review</x:v>
      </x:c>
      <x:c r="H212" s="16" t="str">
        <x:v>P1</x:v>
      </x:c>
      <x:c r="I212" s="16" t="str">
        <x:v>core</x:v>
      </x:c>
      <x:c r="J212" s="16" t="str">
        <x:v>conditional; direct; supporting | conditional; direct; supporting</x:v>
      </x:c>
      <x:c r="K212" s="16" t="str">
        <x:v>OWASP_ASVS; NIST_PRIVACY; NIST_800_53; ISO27701; GDPR; HIPAA; PCI_DSS</x:v>
      </x:c>
      <x:c r="L212" s="16" t="str">
        <x:v>OWASP Application Security Verification Standard (5.0.0 (stable)); NIST Privacy Framework (1.0); NIST SP 800-53 Security and Privacy Controls (Rev. 5 + current errata); ISO/IEC 27701 Privacy Information Management (2025 edition); EU General Data Protection Regulation (Regulation (EU) 2016/679, as applicable/current consolidated text); HIPAA Security Rule (Current U.S. HHS rule and guidance); PCI DSS (v4.0.1)</x:v>
      </x:c>
      <x:c r="M212" s="16" t="str">
        <x:v>https://owasp.org/www-project-application-security-verification-standard/; https://www.nist.gov/privacy-framework; https://csrc.nist.gov/pubs/sp/800/53/r5/upd1/final; https://www.iso.org/standard/27701; https://eur-lex.europa.eu/eli/reg/2016/679/oj; https://www.hhs.gov/hipaa/for-professionals/security/index.html; https://www.pcisecuritystandards.org/document_library/</x:v>
      </x:c>
      <x:c r="N212" s="16" t="str">
        <x:v>not_assessed</x:v>
      </x:c>
      <x:c r="O212" s="16" t="str"/>
      <x:c r="P212" s="18" t="str"/>
      <x:c r="Q212" s="16" t="str"/>
      <x:c r="R212" s="16" t="str"/>
      <x:c r="S212" s="16" t="str"/>
      <x:c r="T212" s="18" t="str"/>
      <x:c r="U212" s="16" t="str"/>
      <x:c r="V212" s="16" t="n">
        <x:v>0</x:v>
      </x:c>
    </x:row>
    <x:row r="213">
      <x:c r="A213" s="16" t="str">
        <x:v>FWPRO-FILES-001</x:v>
      </x:c>
      <x:c r="B213" s="16" t="str">
        <x:v>FILES</x:v>
      </x:c>
      <x:c r="C213" s="16" t="str">
        <x:v>Uploads, downloads, parsing and SSRF surfaces</x:v>
      </x:c>
      <x:c r="D213" s="16" t="str">
        <x:v>Allowlist upload types using content inspection in addition to user-supplied extension and MIME type.</x:v>
      </x:c>
      <x:c r="E213" s="16" t="str">
        <x:v>Run only with the documented prerequisites, approved scope and suitable specialist method; record method, version, limitations and reviewer disposition. Control objective: Allowlist upload types using content inspection in addition to user-supplied extension and MIME type.</x:v>
      </x:c>
      <x:c r="F213" s="16" t="str">
        <x:v>Reproducible test case, approved test account/environment, tool/version and reviewer validation.</x:v>
      </x:c>
      <x:c r="G213" s="16" t="str">
        <x:v>manual_or_specialist_tool</x:v>
      </x:c>
      <x:c r="H213" s="16" t="str">
        <x:v>P1</x:v>
      </x:c>
      <x:c r="I213" s="16" t="str">
        <x:v>conditional</x:v>
      </x:c>
      <x:c r="J213" s="16" t="str">
        <x:v>direct; supporting | direct; supporting</x:v>
      </x:c>
      <x:c r="K213" s="16" t="str">
        <x:v>OWASP_ASVS; OWASP_WSTG; OWASP_API; OWASP_CHEATSHEETS; CWE_TOP25</x:v>
      </x:c>
      <x:c r="L213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13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13" s="16" t="str">
        <x:v>not_assessed</x:v>
      </x:c>
      <x:c r="O213" s="16" t="str"/>
      <x:c r="P213" s="18" t="str"/>
      <x:c r="Q213" s="16" t="str"/>
      <x:c r="R213" s="16" t="str"/>
      <x:c r="S213" s="16" t="str"/>
      <x:c r="T213" s="18" t="str"/>
      <x:c r="U213" s="16" t="str"/>
      <x:c r="V213" s="16" t="n">
        <x:v>0</x:v>
      </x:c>
    </x:row>
    <x:row r="214">
      <x:c r="A214" s="16" t="str">
        <x:v>FWPRO-FILES-002</x:v>
      </x:c>
      <x:c r="B214" s="16" t="str">
        <x:v>FILES</x:v>
      </x:c>
      <x:c r="C214" s="16" t="str">
        <x:v>Uploads, downloads, parsing and SSRF surfaces</x:v>
      </x:c>
      <x:c r="D214" s="16" t="str">
        <x:v>Limit file size, count, decompression ratio, nesting depth and processing time.</x:v>
      </x:c>
      <x:c r="E214" s="16" t="str">
        <x:v>Run only with the documented prerequisites, approved scope and suitable specialist method; record method, version, limitations and reviewer disposition. Control objective: Limit file size, count, decompression ratio, nesting depth and processing time.</x:v>
      </x:c>
      <x:c r="F214" s="16" t="str">
        <x:v>Reproducible test case, approved test account/environment, tool/version and reviewer validation.</x:v>
      </x:c>
      <x:c r="G214" s="16" t="str">
        <x:v>manual_or_specialist_tool</x:v>
      </x:c>
      <x:c r="H214" s="16" t="str">
        <x:v>P1</x:v>
      </x:c>
      <x:c r="I214" s="16" t="str">
        <x:v>conditional</x:v>
      </x:c>
      <x:c r="J214" s="16" t="str">
        <x:v>direct; supporting | direct; supporting</x:v>
      </x:c>
      <x:c r="K214" s="16" t="str">
        <x:v>OWASP_ASVS; OWASP_WSTG; OWASP_API; OWASP_CHEATSHEETS; CWE_TOP25</x:v>
      </x:c>
      <x:c r="L214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14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14" s="16" t="str">
        <x:v>not_assessed</x:v>
      </x:c>
      <x:c r="O214" s="16" t="str"/>
      <x:c r="P214" s="18" t="str"/>
      <x:c r="Q214" s="16" t="str"/>
      <x:c r="R214" s="16" t="str"/>
      <x:c r="S214" s="16" t="str"/>
      <x:c r="T214" s="18" t="str"/>
      <x:c r="U214" s="16" t="str"/>
      <x:c r="V214" s="16" t="n">
        <x:v>0</x:v>
      </x:c>
    </x:row>
    <x:row r="215">
      <x:c r="A215" s="16" t="str">
        <x:v>FWPRO-FILES-003</x:v>
      </x:c>
      <x:c r="B215" s="16" t="str">
        <x:v>FILES</x:v>
      </x:c>
      <x:c r="C215" s="16" t="str">
        <x:v>Uploads, downloads, parsing and SSRF surfaces</x:v>
      </x:c>
      <x:c r="D215" s="16" t="str">
        <x:v>Store untrusted uploads outside executable web roots with restrictive permissions.</x:v>
      </x:c>
      <x:c r="E215" s="16" t="str">
        <x:v>Run only with the documented prerequisites, approved scope and suitable specialist method; record method, version, limitations and reviewer disposition. Control objective: Store untrusted uploads outside executable web roots with restrictive permissions.</x:v>
      </x:c>
      <x:c r="F215" s="16" t="str">
        <x:v>Reproducible test case, approved test account/environment, tool/version and reviewer validation.</x:v>
      </x:c>
      <x:c r="G215" s="16" t="str">
        <x:v>manual_or_specialist_tool</x:v>
      </x:c>
      <x:c r="H215" s="16" t="str">
        <x:v>P1</x:v>
      </x:c>
      <x:c r="I215" s="16" t="str">
        <x:v>conditional</x:v>
      </x:c>
      <x:c r="J215" s="16" t="str">
        <x:v>direct; supporting | direct; supporting</x:v>
      </x:c>
      <x:c r="K215" s="16" t="str">
        <x:v>OWASP_ASVS; OWASP_WSTG; OWASP_API; OWASP_CHEATSHEETS; CWE_TOP25</x:v>
      </x:c>
      <x:c r="L215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15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15" s="16" t="str">
        <x:v>not_assessed</x:v>
      </x:c>
      <x:c r="O215" s="16" t="str"/>
      <x:c r="P215" s="18" t="str"/>
      <x:c r="Q215" s="16" t="str"/>
      <x:c r="R215" s="16" t="str"/>
      <x:c r="S215" s="16" t="str"/>
      <x:c r="T215" s="18" t="str"/>
      <x:c r="U215" s="16" t="str"/>
      <x:c r="V215" s="16" t="n">
        <x:v>0</x:v>
      </x:c>
    </x:row>
    <x:row r="216">
      <x:c r="A216" s="16" t="str">
        <x:v>FWPRO-FILES-004</x:v>
      </x:c>
      <x:c r="B216" s="16" t="str">
        <x:v>FILES</x:v>
      </x:c>
      <x:c r="C216" s="16" t="str">
        <x:v>Uploads, downloads, parsing and SSRF surfaces</x:v>
      </x:c>
      <x:c r="D216" s="16" t="str">
        <x:v>Generate server-side storage names and prevent path traversal through supplied file names.</x:v>
      </x:c>
      <x:c r="E216" s="16" t="str">
        <x:v>Run only with the documented prerequisites, approved scope and suitable specialist method; record method, version, limitations and reviewer disposition. Control objective: Generate server-side storage names and prevent path traversal through supplied file names.</x:v>
      </x:c>
      <x:c r="F216" s="16" t="str">
        <x:v>Reproducible test case, approved test account/environment, tool/version and reviewer validation.</x:v>
      </x:c>
      <x:c r="G216" s="16" t="str">
        <x:v>manual_or_specialist_tool</x:v>
      </x:c>
      <x:c r="H216" s="16" t="str">
        <x:v>P1</x:v>
      </x:c>
      <x:c r="I216" s="16" t="str">
        <x:v>conditional</x:v>
      </x:c>
      <x:c r="J216" s="16" t="str">
        <x:v>direct; supporting | direct; supporting</x:v>
      </x:c>
      <x:c r="K216" s="16" t="str">
        <x:v>OWASP_ASVS; OWASP_WSTG; OWASP_API; OWASP_CHEATSHEETS; CWE_TOP25</x:v>
      </x:c>
      <x:c r="L216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16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16" s="16" t="str">
        <x:v>not_assessed</x:v>
      </x:c>
      <x:c r="O216" s="16" t="str"/>
      <x:c r="P216" s="18" t="str"/>
      <x:c r="Q216" s="16" t="str"/>
      <x:c r="R216" s="16" t="str"/>
      <x:c r="S216" s="16" t="str"/>
      <x:c r="T216" s="18" t="str"/>
      <x:c r="U216" s="16" t="str"/>
      <x:c r="V216" s="16" t="n">
        <x:v>0</x:v>
      </x:c>
    </x:row>
    <x:row r="217">
      <x:c r="A217" s="16" t="str">
        <x:v>FWPRO-FILES-005</x:v>
      </x:c>
      <x:c r="B217" s="16" t="str">
        <x:v>FILES</x:v>
      </x:c>
      <x:c r="C217" s="16" t="str">
        <x:v>Uploads, downloads, parsing and SSRF surfaces</x:v>
      </x:c>
      <x:c r="D217" s="16" t="str">
        <x:v>Scan or sandbox risky content before downstream use when justified by the threat model.</x:v>
      </x:c>
      <x:c r="E217" s="16" t="str">
        <x:v>Run only with the documented prerequisites, approved scope and suitable specialist method; record method, version, limitations and reviewer disposition. Control objective: Scan or sandbox risky content before downstream use when justified by the threat model.</x:v>
      </x:c>
      <x:c r="F217" s="16" t="str">
        <x:v>Reproducible test case, approved test account/environment, tool/version and reviewer validation.</x:v>
      </x:c>
      <x:c r="G217" s="16" t="str">
        <x:v>manual_or_specialist_tool</x:v>
      </x:c>
      <x:c r="H217" s="16" t="str">
        <x:v>P1</x:v>
      </x:c>
      <x:c r="I217" s="16" t="str">
        <x:v>conditional</x:v>
      </x:c>
      <x:c r="J217" s="16" t="str">
        <x:v>direct; supporting | direct; supporting</x:v>
      </x:c>
      <x:c r="K217" s="16" t="str">
        <x:v>OWASP_ASVS; OWASP_WSTG; OWASP_API; OWASP_CHEATSHEETS; CWE_TOP25</x:v>
      </x:c>
      <x:c r="L217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17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17" s="16" t="str">
        <x:v>not_assessed</x:v>
      </x:c>
      <x:c r="O217" s="16" t="str"/>
      <x:c r="P217" s="18" t="str"/>
      <x:c r="Q217" s="16" t="str"/>
      <x:c r="R217" s="16" t="str"/>
      <x:c r="S217" s="16" t="str"/>
      <x:c r="T217" s="18" t="str"/>
      <x:c r="U217" s="16" t="str"/>
      <x:c r="V217" s="16" t="n">
        <x:v>0</x:v>
      </x:c>
    </x:row>
    <x:row r="218">
      <x:c r="A218" s="16" t="str">
        <x:v>FWPRO-FILES-006</x:v>
      </x:c>
      <x:c r="B218" s="16" t="str">
        <x:v>FILES</x:v>
      </x:c>
      <x:c r="C218" s="16" t="str">
        <x:v>Uploads, downloads, parsing and SSRF surfaces</x:v>
      </x:c>
      <x:c r="D218" s="16" t="str">
        <x:v>Prevent uploaded active content from sharing a trusted origin with authenticated application pages.</x:v>
      </x:c>
      <x:c r="E218" s="16" t="str">
        <x:v>Run only with the documented prerequisites, approved scope and suitable specialist method; record method, version, limitations and reviewer disposition. Control objective: Prevent uploaded active content from sharing a trusted origin with authenticated application pages.</x:v>
      </x:c>
      <x:c r="F218" s="16" t="str">
        <x:v>Reproducible test case, approved test account/environment, tool/version and reviewer validation.</x:v>
      </x:c>
      <x:c r="G218" s="16" t="str">
        <x:v>manual_or_specialist_tool</x:v>
      </x:c>
      <x:c r="H218" s="16" t="str">
        <x:v>P1</x:v>
      </x:c>
      <x:c r="I218" s="16" t="str">
        <x:v>conditional</x:v>
      </x:c>
      <x:c r="J218" s="16" t="str">
        <x:v>direct; supporting | direct; supporting</x:v>
      </x:c>
      <x:c r="K218" s="16" t="str">
        <x:v>OWASP_ASVS; OWASP_WSTG; OWASP_API; OWASP_CHEATSHEETS; CWE_TOP25</x:v>
      </x:c>
      <x:c r="L218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18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18" s="16" t="str">
        <x:v>not_assessed</x:v>
      </x:c>
      <x:c r="O218" s="16" t="str"/>
      <x:c r="P218" s="18" t="str"/>
      <x:c r="Q218" s="16" t="str"/>
      <x:c r="R218" s="16" t="str"/>
      <x:c r="S218" s="16" t="str"/>
      <x:c r="T218" s="18" t="str"/>
      <x:c r="U218" s="16" t="str"/>
      <x:c r="V218" s="16" t="n">
        <x:v>0</x:v>
      </x:c>
    </x:row>
    <x:row r="219">
      <x:c r="A219" s="16" t="str">
        <x:v>FWPRO-FILES-007</x:v>
      </x:c>
      <x:c r="B219" s="16" t="str">
        <x:v>FILES</x:v>
      </x:c>
      <x:c r="C219" s="16" t="str">
        <x:v>Uploads, downloads, parsing and SSRF surfaces</x:v>
      </x:c>
      <x:c r="D219" s="16" t="str">
        <x:v>Set safe Content-Disposition and content types for file downloads.</x:v>
      </x:c>
      <x:c r="E219" s="16" t="str">
        <x:v>Run only with the documented prerequisites, approved scope and suitable specialist method; record method, version, limitations and reviewer disposition. Control objective: Set safe Content-Disposition and content types for file downloads.</x:v>
      </x:c>
      <x:c r="F219" s="16" t="str">
        <x:v>Reproducible test case, approved test account/environment, tool/version and reviewer validation.</x:v>
      </x:c>
      <x:c r="G219" s="16" t="str">
        <x:v>manual_or_specialist_tool</x:v>
      </x:c>
      <x:c r="H219" s="16" t="str">
        <x:v>P1</x:v>
      </x:c>
      <x:c r="I219" s="16" t="str">
        <x:v>conditional</x:v>
      </x:c>
      <x:c r="J219" s="16" t="str">
        <x:v>direct; supporting | direct; supporting</x:v>
      </x:c>
      <x:c r="K219" s="16" t="str">
        <x:v>OWASP_ASVS; OWASP_WSTG; OWASP_API; OWASP_CHEATSHEETS; CWE_TOP25</x:v>
      </x:c>
      <x:c r="L219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19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19" s="16" t="str">
        <x:v>not_assessed</x:v>
      </x:c>
      <x:c r="O219" s="16" t="str"/>
      <x:c r="P219" s="18" t="str"/>
      <x:c r="Q219" s="16" t="str"/>
      <x:c r="R219" s="16" t="str"/>
      <x:c r="S219" s="16" t="str"/>
      <x:c r="T219" s="18" t="str"/>
      <x:c r="U219" s="16" t="str"/>
      <x:c r="V219" s="16" t="n">
        <x:v>0</x:v>
      </x:c>
    </x:row>
    <x:row r="220">
      <x:c r="A220" s="16" t="str">
        <x:v>FWPRO-FILES-008</x:v>
      </x:c>
      <x:c r="B220" s="16" t="str">
        <x:v>FILES</x:v>
      </x:c>
      <x:c r="C220" s="16" t="str">
        <x:v>Uploads, downloads, parsing and SSRF surfaces</x:v>
      </x:c>
      <x:c r="D220" s="16" t="str">
        <x:v>Authorize file access independently of guessed or enumerated file identifiers.</x:v>
      </x:c>
      <x:c r="E220" s="16" t="str">
        <x:v>Run only with the documented prerequisites, approved scope and suitable specialist method; record method, version, limitations and reviewer disposition. Control objective: Authorize file access independently of guessed or enumerated file identifiers.</x:v>
      </x:c>
      <x:c r="F220" s="16" t="str">
        <x:v>Reproducible test case, approved test account/environment, tool/version and reviewer validation.</x:v>
      </x:c>
      <x:c r="G220" s="16" t="str">
        <x:v>manual_or_specialist_tool</x:v>
      </x:c>
      <x:c r="H220" s="16" t="str">
        <x:v>P1</x:v>
      </x:c>
      <x:c r="I220" s="16" t="str">
        <x:v>conditional</x:v>
      </x:c>
      <x:c r="J220" s="16" t="str">
        <x:v>direct; supporting | direct; supporting</x:v>
      </x:c>
      <x:c r="K220" s="16" t="str">
        <x:v>OWASP_ASVS; OWASP_WSTG; OWASP_API; OWASP_CHEATSHEETS; CWE_TOP25</x:v>
      </x:c>
      <x:c r="L220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0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0" s="16" t="str">
        <x:v>not_assessed</x:v>
      </x:c>
      <x:c r="O220" s="16" t="str"/>
      <x:c r="P220" s="18" t="str"/>
      <x:c r="Q220" s="16" t="str"/>
      <x:c r="R220" s="16" t="str"/>
      <x:c r="S220" s="16" t="str"/>
      <x:c r="T220" s="18" t="str"/>
      <x:c r="U220" s="16" t="str"/>
      <x:c r="V220" s="16" t="n">
        <x:v>0</x:v>
      </x:c>
    </x:row>
    <x:row r="221">
      <x:c r="A221" s="16" t="str">
        <x:v>FWPRO-FILES-009</x:v>
      </x:c>
      <x:c r="B221" s="16" t="str">
        <x:v>FILES</x:v>
      </x:c>
      <x:c r="C221" s="16" t="str">
        <x:v>Uploads, downloads, parsing and SSRF surfaces</x:v>
      </x:c>
      <x:c r="D221" s="16" t="str">
        <x:v>Validate archive extraction against path traversal, symlink escape and zip-bomb behavior.</x:v>
      </x:c>
      <x:c r="E221" s="16" t="str">
        <x:v>Run only with the documented prerequisites, approved scope and suitable specialist method; record method, version, limitations and reviewer disposition. Control objective: Validate archive extraction against path traversal, symlink escape and zip-bomb behavior.</x:v>
      </x:c>
      <x:c r="F221" s="16" t="str">
        <x:v>Reproducible test case, approved test account/environment, tool/version and reviewer validation.</x:v>
      </x:c>
      <x:c r="G221" s="16" t="str">
        <x:v>manual_or_specialist_tool</x:v>
      </x:c>
      <x:c r="H221" s="16" t="str">
        <x:v>P1</x:v>
      </x:c>
      <x:c r="I221" s="16" t="str">
        <x:v>conditional</x:v>
      </x:c>
      <x:c r="J221" s="16" t="str">
        <x:v>direct; supporting | direct; supporting</x:v>
      </x:c>
      <x:c r="K221" s="16" t="str">
        <x:v>OWASP_ASVS; OWASP_WSTG; OWASP_API; OWASP_CHEATSHEETS; CWE_TOP25</x:v>
      </x:c>
      <x:c r="L221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1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1" s="16" t="str">
        <x:v>not_assessed</x:v>
      </x:c>
      <x:c r="O221" s="16" t="str"/>
      <x:c r="P221" s="18" t="str"/>
      <x:c r="Q221" s="16" t="str"/>
      <x:c r="R221" s="16" t="str"/>
      <x:c r="S221" s="16" t="str"/>
      <x:c r="T221" s="18" t="str"/>
      <x:c r="U221" s="16" t="str"/>
      <x:c r="V221" s="16" t="n">
        <x:v>0</x:v>
      </x:c>
    </x:row>
    <x:row r="222">
      <x:c r="A222" s="16" t="str">
        <x:v>FWPRO-FILES-010</x:v>
      </x:c>
      <x:c r="B222" s="16" t="str">
        <x:v>FILES</x:v>
      </x:c>
      <x:c r="C222" s="16" t="str">
        <x:v>Uploads, downloads, parsing and SSRF surfaces</x:v>
      </x:c>
      <x:c r="D222" s="16" t="str">
        <x:v>Disable unsafe XML external entity and external schema fetching in parsers that do not need them.</x:v>
      </x:c>
      <x:c r="E222" s="16" t="str">
        <x:v>Run only with the documented prerequisites, approved scope and suitable specialist method; record method, version, limitations and reviewer disposition. Control objective: Disable unsafe XML external entity and external schema fetching in parsers that do not need them.</x:v>
      </x:c>
      <x:c r="F222" s="16" t="str">
        <x:v>Reproducible test case, approved test account/environment, tool/version and reviewer validation.</x:v>
      </x:c>
      <x:c r="G222" s="16" t="str">
        <x:v>manual_or_specialist_tool</x:v>
      </x:c>
      <x:c r="H222" s="16" t="str">
        <x:v>P1</x:v>
      </x:c>
      <x:c r="I222" s="16" t="str">
        <x:v>conditional</x:v>
      </x:c>
      <x:c r="J222" s="16" t="str">
        <x:v>direct; supporting | direct; supporting</x:v>
      </x:c>
      <x:c r="K222" s="16" t="str">
        <x:v>OWASP_ASVS; OWASP_WSTG; OWASP_API; OWASP_CHEATSHEETS; CWE_TOP25</x:v>
      </x:c>
      <x:c r="L222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2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2" s="16" t="str">
        <x:v>not_assessed</x:v>
      </x:c>
      <x:c r="O222" s="16" t="str"/>
      <x:c r="P222" s="18" t="str"/>
      <x:c r="Q222" s="16" t="str"/>
      <x:c r="R222" s="16" t="str"/>
      <x:c r="S222" s="16" t="str"/>
      <x:c r="T222" s="18" t="str"/>
      <x:c r="U222" s="16" t="str"/>
      <x:c r="V222" s="16" t="n">
        <x:v>0</x:v>
      </x:c>
    </x:row>
    <x:row r="223">
      <x:c r="A223" s="16" t="str">
        <x:v>FWPRO-FILES-011</x:v>
      </x:c>
      <x:c r="B223" s="16" t="str">
        <x:v>FILES</x:v>
      </x:c>
      <x:c r="C223" s="16" t="str">
        <x:v>Uploads, downloads, parsing and SSRF surfaces</x:v>
      </x:c>
      <x:c r="D223" s="16" t="str">
        <x:v>Use outbound request allowlists and egress network controls for URL-fetching functions.</x:v>
      </x:c>
      <x:c r="E223" s="16" t="str">
        <x:v>Run only with the documented prerequisites, approved scope and suitable specialist method; record method, version, limitations and reviewer disposition. Control objective: Use outbound request allowlists and egress network controls for URL-fetching functions.</x:v>
      </x:c>
      <x:c r="F223" s="16" t="str">
        <x:v>Reproducible test case, approved test account/environment, tool/version and reviewer validation.</x:v>
      </x:c>
      <x:c r="G223" s="16" t="str">
        <x:v>manual_or_specialist_tool</x:v>
      </x:c>
      <x:c r="H223" s="16" t="str">
        <x:v>P1</x:v>
      </x:c>
      <x:c r="I223" s="16" t="str">
        <x:v>conditional</x:v>
      </x:c>
      <x:c r="J223" s="16" t="str">
        <x:v>direct; supporting | direct; supporting</x:v>
      </x:c>
      <x:c r="K223" s="16" t="str">
        <x:v>OWASP_ASVS; OWASP_WSTG; OWASP_API; OWASP_CHEATSHEETS; CWE_TOP25</x:v>
      </x:c>
      <x:c r="L223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3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3" s="16" t="str">
        <x:v>not_assessed</x:v>
      </x:c>
      <x:c r="O223" s="16" t="str"/>
      <x:c r="P223" s="18" t="str"/>
      <x:c r="Q223" s="16" t="str"/>
      <x:c r="R223" s="16" t="str"/>
      <x:c r="S223" s="16" t="str"/>
      <x:c r="T223" s="18" t="str"/>
      <x:c r="U223" s="16" t="str"/>
      <x:c r="V223" s="16" t="n">
        <x:v>0</x:v>
      </x:c>
    </x:row>
    <x:row r="224">
      <x:c r="A224" s="16" t="str">
        <x:v>FWPRO-FILES-012</x:v>
      </x:c>
      <x:c r="B224" s="16" t="str">
        <x:v>FILES</x:v>
      </x:c>
      <x:c r="C224" s="16" t="str">
        <x:v>Uploads, downloads, parsing and SSRF surfaces</x:v>
      </x:c>
      <x:c r="D224" s="16" t="str">
        <x:v>Resolve and validate DNS/IP destinations at connection time to mitigate SSRF and rebinding.</x:v>
      </x:c>
      <x:c r="E224" s="16" t="str">
        <x:v>Run only with the documented prerequisites, approved scope and suitable specialist method; record method, version, limitations and reviewer disposition. Control objective: Resolve and validate DNS/IP destinations at connection time to mitigate SSRF and rebinding.</x:v>
      </x:c>
      <x:c r="F224" s="16" t="str">
        <x:v>Reproducible test case, approved test account/environment, tool/version and reviewer validation.</x:v>
      </x:c>
      <x:c r="G224" s="16" t="str">
        <x:v>manual_or_specialist_tool</x:v>
      </x:c>
      <x:c r="H224" s="16" t="str">
        <x:v>P1</x:v>
      </x:c>
      <x:c r="I224" s="16" t="str">
        <x:v>conditional</x:v>
      </x:c>
      <x:c r="J224" s="16" t="str">
        <x:v>direct; supporting | direct; supporting</x:v>
      </x:c>
      <x:c r="K224" s="16" t="str">
        <x:v>OWASP_ASVS; OWASP_WSTG; OWASP_API; OWASP_CHEATSHEETS; CWE_TOP25</x:v>
      </x:c>
      <x:c r="L224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4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4" s="16" t="str">
        <x:v>not_assessed</x:v>
      </x:c>
      <x:c r="O224" s="16" t="str"/>
      <x:c r="P224" s="18" t="str"/>
      <x:c r="Q224" s="16" t="str"/>
      <x:c r="R224" s="16" t="str"/>
      <x:c r="S224" s="16" t="str"/>
      <x:c r="T224" s="18" t="str"/>
      <x:c r="U224" s="16" t="str"/>
      <x:c r="V224" s="16" t="n">
        <x:v>0</x:v>
      </x:c>
    </x:row>
    <x:row r="225">
      <x:c r="A225" s="16" t="str">
        <x:v>FWPRO-FILES-013</x:v>
      </x:c>
      <x:c r="B225" s="16" t="str">
        <x:v>FILES</x:v>
      </x:c>
      <x:c r="C225" s="16" t="str">
        <x:v>Uploads, downloads, parsing and SSRF surfaces</x:v>
      </x:c>
      <x:c r="D225" s="16" t="str">
        <x:v>Block loopback, link-local, private, multicast and metadata-service destinations unless explicitly required and isolated.</x:v>
      </x:c>
      <x:c r="E225" s="16" t="str">
        <x:v>Run only with the documented prerequisites, approved scope and suitable specialist method; record method, version, limitations and reviewer disposition. Control objective: Block loopback, link-local, private, multicast and metadata-service destinations unless explicitly required and isolated.</x:v>
      </x:c>
      <x:c r="F225" s="16" t="str">
        <x:v>Reproducible test case, approved test account/environment, tool/version and reviewer validation.</x:v>
      </x:c>
      <x:c r="G225" s="16" t="str">
        <x:v>manual_or_specialist_tool</x:v>
      </x:c>
      <x:c r="H225" s="16" t="str">
        <x:v>P1</x:v>
      </x:c>
      <x:c r="I225" s="16" t="str">
        <x:v>conditional</x:v>
      </x:c>
      <x:c r="J225" s="16" t="str">
        <x:v>direct; supporting | direct; supporting</x:v>
      </x:c>
      <x:c r="K225" s="16" t="str">
        <x:v>OWASP_ASVS; OWASP_WSTG; OWASP_API; OWASP_CHEATSHEETS; CWE_TOP25</x:v>
      </x:c>
      <x:c r="L225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5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5" s="16" t="str">
        <x:v>not_assessed</x:v>
      </x:c>
      <x:c r="O225" s="16" t="str"/>
      <x:c r="P225" s="18" t="str"/>
      <x:c r="Q225" s="16" t="str"/>
      <x:c r="R225" s="16" t="str"/>
      <x:c r="S225" s="16" t="str"/>
      <x:c r="T225" s="18" t="str"/>
      <x:c r="U225" s="16" t="str"/>
      <x:c r="V225" s="16" t="n">
        <x:v>0</x:v>
      </x:c>
    </x:row>
    <x:row r="226">
      <x:c r="A226" s="16" t="str">
        <x:v>FWPRO-FILES-014</x:v>
      </x:c>
      <x:c r="B226" s="16" t="str">
        <x:v>FILES</x:v>
      </x:c>
      <x:c r="C226" s="16" t="str">
        <x:v>Uploads, downloads, parsing and SSRF surfaces</x:v>
      </x:c>
      <x:c r="D226" s="16" t="str">
        <x:v>Limit redirects, schemes, ports, response sizes and timeouts in URL fetchers.</x:v>
      </x:c>
      <x:c r="E226" s="16" t="str">
        <x:v>Run only with the documented prerequisites, approved scope and suitable specialist method; record method, version, limitations and reviewer disposition. Control objective: Limit redirects, schemes, ports, response sizes and timeouts in URL fetchers.</x:v>
      </x:c>
      <x:c r="F226" s="16" t="str">
        <x:v>Reproducible test case, approved test account/environment, tool/version and reviewer validation.</x:v>
      </x:c>
      <x:c r="G226" s="16" t="str">
        <x:v>manual_or_specialist_tool</x:v>
      </x:c>
      <x:c r="H226" s="16" t="str">
        <x:v>P1</x:v>
      </x:c>
      <x:c r="I226" s="16" t="str">
        <x:v>conditional</x:v>
      </x:c>
      <x:c r="J226" s="16" t="str">
        <x:v>direct; supporting | direct; supporting</x:v>
      </x:c>
      <x:c r="K226" s="16" t="str">
        <x:v>OWASP_ASVS; OWASP_WSTG; OWASP_API; OWASP_CHEATSHEETS; CWE_TOP25</x:v>
      </x:c>
      <x:c r="L226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6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6" s="16" t="str">
        <x:v>not_assessed</x:v>
      </x:c>
      <x:c r="O226" s="16" t="str"/>
      <x:c r="P226" s="18" t="str"/>
      <x:c r="Q226" s="16" t="str"/>
      <x:c r="R226" s="16" t="str"/>
      <x:c r="S226" s="16" t="str"/>
      <x:c r="T226" s="18" t="str"/>
      <x:c r="U226" s="16" t="str"/>
      <x:c r="V226" s="16" t="n">
        <x:v>0</x:v>
      </x:c>
    </x:row>
    <x:row r="227">
      <x:c r="A227" s="16" t="str">
        <x:v>FWPRO-FILES-015</x:v>
      </x:c>
      <x:c r="B227" s="16" t="str">
        <x:v>FILES</x:v>
      </x:c>
      <x:c r="C227" s="16" t="str">
        <x:v>Uploads, downloads, parsing and SSRF surfaces</x:v>
      </x:c>
      <x:c r="D227" s="16" t="str">
        <x:v>Use safe parsers for image, document, PDF and media processing; isolate high-risk converters.</x:v>
      </x:c>
      <x:c r="E227" s="16" t="str">
        <x:v>Run only with the documented prerequisites, approved scope and suitable specialist method; record method, version, limitations and reviewer disposition. Control objective: Use safe parsers for image, document, PDF and media processing; isolate high-risk converters.</x:v>
      </x:c>
      <x:c r="F227" s="16" t="str">
        <x:v>Reproducible test case, approved test account/environment, tool/version and reviewer validation.</x:v>
      </x:c>
      <x:c r="G227" s="16" t="str">
        <x:v>manual_or_specialist_tool</x:v>
      </x:c>
      <x:c r="H227" s="16" t="str">
        <x:v>P1</x:v>
      </x:c>
      <x:c r="I227" s="16" t="str">
        <x:v>conditional</x:v>
      </x:c>
      <x:c r="J227" s="16" t="str">
        <x:v>direct; supporting | direct; supporting</x:v>
      </x:c>
      <x:c r="K227" s="16" t="str">
        <x:v>OWASP_ASVS; OWASP_WSTG; OWASP_API; OWASP_CHEATSHEETS; CWE_TOP25</x:v>
      </x:c>
      <x:c r="L227" s="16" t="str">
        <x:v>OWASP Application Security Verification Standard (5.0.0 (stable)); OWASP Web Security Testing Guide (v4.2 (current stable)); OWASP API Security Top 10 (2023); OWASP Cheat Sheet Series (Rolling community guidance); MITRE CWE Top 25 (2025)</x:v>
      </x:c>
      <x:c r="M227" s="16" t="str">
        <x:v>https://owasp.org/www-project-application-security-verification-standard/; https://owasp.org/www-project-web-security-testing-guide/v42/; https://owasp.org/www-project-api-security/; https://cheatsheetseries.owasp.org/; https://cwe.mitre.org/top25/archive/2025/2025_cwe_top25</x:v>
      </x:c>
      <x:c r="N227" s="16" t="str">
        <x:v>not_assessed</x:v>
      </x:c>
      <x:c r="O227" s="16" t="str"/>
      <x:c r="P227" s="18" t="str"/>
      <x:c r="Q227" s="16" t="str"/>
      <x:c r="R227" s="16" t="str"/>
      <x:c r="S227" s="16" t="str"/>
      <x:c r="T227" s="18" t="str"/>
      <x:c r="U227" s="16" t="str"/>
      <x:c r="V227" s="16" t="n">
        <x:v>0</x:v>
      </x:c>
    </x:row>
    <x:row r="228">
      <x:c r="A228" s="16" t="str">
        <x:v>FWPRO-BUSINESS-001</x:v>
      </x:c>
      <x:c r="B228" s="16" t="str">
        <x:v>BUSINESS</x:v>
      </x:c>
      <x:c r="C228" s="16" t="str">
        <x:v>Business logic, automation abuse and resource limits</x:v>
      </x:c>
      <x:c r="D228" s="16" t="str">
        <x:v>Define expected state transitions and reject illegal workflow transitions server-side.</x:v>
      </x:c>
      <x:c r="E228" s="16" t="str">
        <x:v>An accountable owner/reviewer confirms the control using current artifacts or reproducible test steps; exceptions have rationale, approver, compensating control and expiry. Control objective: Define expected state transitions and reject illegal workflow transitions server-side.</x:v>
      </x:c>
      <x:c r="F228" s="16" t="str">
        <x:v>Reviewer steps, expected/observed result, sanitized evidence, impact, reviewer and approval/ticket.</x:v>
      </x:c>
      <x:c r="G228" s="16" t="str">
        <x:v>manual_review</x:v>
      </x:c>
      <x:c r="H228" s="16" t="str">
        <x:v>P1</x:v>
      </x:c>
      <x:c r="I228" s="16" t="str">
        <x:v>conditional</x:v>
      </x:c>
      <x:c r="J228" s="16" t="str">
        <x:v>direct; supporting | direct; supporting</x:v>
      </x:c>
      <x:c r="K228" s="16" t="str">
        <x:v>OWASP_WSTG; OWASP_API; OWASP_ATWA; OWASP_TOP10; NIST_CSF; ISO31000</x:v>
      </x:c>
      <x:c r="L228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28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28" s="16" t="str">
        <x:v>not_assessed</x:v>
      </x:c>
      <x:c r="O228" s="16" t="str"/>
      <x:c r="P228" s="18" t="str"/>
      <x:c r="Q228" s="16" t="str"/>
      <x:c r="R228" s="16" t="str"/>
      <x:c r="S228" s="16" t="str"/>
      <x:c r="T228" s="18" t="str"/>
      <x:c r="U228" s="16" t="str"/>
      <x:c r="V228" s="16" t="n">
        <x:v>0</x:v>
      </x:c>
    </x:row>
    <x:row r="229">
      <x:c r="A229" s="16" t="str">
        <x:v>FWPRO-BUSINESS-002</x:v>
      </x:c>
      <x:c r="B229" s="16" t="str">
        <x:v>BUSINESS</x:v>
      </x:c>
      <x:c r="C229" s="16" t="str">
        <x:v>Business logic, automation abuse and resource limits</x:v>
      </x:c>
      <x:c r="D229" s="16" t="str">
        <x:v>Test price, quantity, discount, tax, currency and rounding rules with synthetic accounts/data.</x:v>
      </x:c>
      <x:c r="E229" s="16" t="str">
        <x:v>An accountable owner/reviewer confirms the control using current artifacts or reproducible test steps; exceptions have rationale, approver, compensating control and expiry. Control objective: Test price, quantity, discount, tax, currency and rounding rules with synthetic accounts/data.</x:v>
      </x:c>
      <x:c r="F229" s="16" t="str">
        <x:v>Reviewer steps, expected/observed result, sanitized evidence, impact, reviewer and approval/ticket.</x:v>
      </x:c>
      <x:c r="G229" s="16" t="str">
        <x:v>manual_review</x:v>
      </x:c>
      <x:c r="H229" s="16" t="str">
        <x:v>P1</x:v>
      </x:c>
      <x:c r="I229" s="16" t="str">
        <x:v>conditional</x:v>
      </x:c>
      <x:c r="J229" s="16" t="str">
        <x:v>direct; supporting | direct; supporting</x:v>
      </x:c>
      <x:c r="K229" s="16" t="str">
        <x:v>OWASP_WSTG; OWASP_API; OWASP_ATWA; OWASP_TOP10; NIST_CSF; ISO31000</x:v>
      </x:c>
      <x:c r="L229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29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29" s="16" t="str">
        <x:v>not_assessed</x:v>
      </x:c>
      <x:c r="O229" s="16" t="str"/>
      <x:c r="P229" s="18" t="str"/>
      <x:c r="Q229" s="16" t="str"/>
      <x:c r="R229" s="16" t="str"/>
      <x:c r="S229" s="16" t="str"/>
      <x:c r="T229" s="18" t="str"/>
      <x:c r="U229" s="16" t="str"/>
      <x:c r="V229" s="16" t="n">
        <x:v>0</x:v>
      </x:c>
    </x:row>
    <x:row r="230">
      <x:c r="A230" s="16" t="str">
        <x:v>FWPRO-BUSINESS-003</x:v>
      </x:c>
      <x:c r="B230" s="16" t="str">
        <x:v>BUSINESS</x:v>
      </x:c>
      <x:c r="C230" s="16" t="str">
        <x:v>Business logic, automation abuse and resource limits</x:v>
      </x:c>
      <x:c r="D230" s="16" t="str">
        <x:v>Use idempotency controls for retryable payment, order, provisioning and sensitive transaction APIs.</x:v>
      </x:c>
      <x:c r="E230" s="16" t="str">
        <x:v>An accountable owner/reviewer confirms the control using current artifacts or reproducible test steps; exceptions have rationale, approver, compensating control and expiry. Control objective: Use idempotency controls for retryable payment, order, provisioning and sensitive transaction APIs.</x:v>
      </x:c>
      <x:c r="F230" s="16" t="str">
        <x:v>Reviewer steps, expected/observed result, sanitized evidence, impact, reviewer and approval/ticket.</x:v>
      </x:c>
      <x:c r="G230" s="16" t="str">
        <x:v>manual_review</x:v>
      </x:c>
      <x:c r="H230" s="16" t="str">
        <x:v>P1</x:v>
      </x:c>
      <x:c r="I230" s="16" t="str">
        <x:v>conditional</x:v>
      </x:c>
      <x:c r="J230" s="16" t="str">
        <x:v>direct; supporting | direct; supporting</x:v>
      </x:c>
      <x:c r="K230" s="16" t="str">
        <x:v>OWASP_WSTG; OWASP_API; OWASP_ATWA; OWASP_TOP10; NIST_CSF; ISO31000</x:v>
      </x:c>
      <x:c r="L230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0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0" s="16" t="str">
        <x:v>not_assessed</x:v>
      </x:c>
      <x:c r="O230" s="16" t="str"/>
      <x:c r="P230" s="18" t="str"/>
      <x:c r="Q230" s="16" t="str"/>
      <x:c r="R230" s="16" t="str"/>
      <x:c r="S230" s="16" t="str"/>
      <x:c r="T230" s="18" t="str"/>
      <x:c r="U230" s="16" t="str"/>
      <x:c r="V230" s="16" t="n">
        <x:v>0</x:v>
      </x:c>
    </x:row>
    <x:row r="231">
      <x:c r="A231" s="16" t="str">
        <x:v>FWPRO-BUSINESS-004</x:v>
      </x:c>
      <x:c r="B231" s="16" t="str">
        <x:v>BUSINESS</x:v>
      </x:c>
      <x:c r="C231" s="16" t="str">
        <x:v>Business logic, automation abuse and resource limits</x:v>
      </x:c>
      <x:c r="D231" s="16" t="str">
        <x:v>Ensure approval steps cannot be skipped by direct API calls or altered client state.</x:v>
      </x:c>
      <x:c r="E231" s="16" t="str">
        <x:v>An accountable owner/reviewer confirms the control using current artifacts or reproducible test steps; exceptions have rationale, approver, compensating control and expiry. Control objective: Ensure approval steps cannot be skipped by direct API calls or altered client state.</x:v>
      </x:c>
      <x:c r="F231" s="16" t="str">
        <x:v>Reviewer steps, expected/observed result, sanitized evidence, impact, reviewer and approval/ticket.</x:v>
      </x:c>
      <x:c r="G231" s="16" t="str">
        <x:v>manual_review</x:v>
      </x:c>
      <x:c r="H231" s="16" t="str">
        <x:v>P1</x:v>
      </x:c>
      <x:c r="I231" s="16" t="str">
        <x:v>conditional</x:v>
      </x:c>
      <x:c r="J231" s="16" t="str">
        <x:v>direct; supporting | direct; supporting</x:v>
      </x:c>
      <x:c r="K231" s="16" t="str">
        <x:v>OWASP_WSTG; OWASP_API; OWASP_ATWA; OWASP_TOP10; NIST_CSF; ISO31000</x:v>
      </x:c>
      <x:c r="L231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1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1" s="16" t="str">
        <x:v>not_assessed</x:v>
      </x:c>
      <x:c r="O231" s="16" t="str"/>
      <x:c r="P231" s="18" t="str"/>
      <x:c r="Q231" s="16" t="str"/>
      <x:c r="R231" s="16" t="str"/>
      <x:c r="S231" s="16" t="str"/>
      <x:c r="T231" s="18" t="str"/>
      <x:c r="U231" s="16" t="str"/>
      <x:c r="V231" s="16" t="n">
        <x:v>0</x:v>
      </x:c>
    </x:row>
    <x:row r="232">
      <x:c r="A232" s="16" t="str">
        <x:v>FWPRO-BUSINESS-005</x:v>
      </x:c>
      <x:c r="B232" s="16" t="str">
        <x:v>BUSINESS</x:v>
      </x:c>
      <x:c r="C232" s="16" t="str">
        <x:v>Business logic, automation abuse and resource limits</x:v>
      </x:c>
      <x:c r="D232" s="16" t="str">
        <x:v>Define rate, quota and concurrency limits for account creation, recovery, search and expensive workflows.</x:v>
      </x:c>
      <x:c r="E232" s="16" t="str">
        <x:v>An accountable owner/reviewer confirms the control using current artifacts or reproducible test steps; exceptions have rationale, approver, compensating control and expiry. Control objective: Define rate, quota and concurrency limits for account creation, recovery, search and expensive workflows.</x:v>
      </x:c>
      <x:c r="F232" s="16" t="str">
        <x:v>Reviewer steps, expected/observed result, sanitized evidence, impact, reviewer and approval/ticket.</x:v>
      </x:c>
      <x:c r="G232" s="16" t="str">
        <x:v>manual_review</x:v>
      </x:c>
      <x:c r="H232" s="16" t="str">
        <x:v>P1</x:v>
      </x:c>
      <x:c r="I232" s="16" t="str">
        <x:v>conditional</x:v>
      </x:c>
      <x:c r="J232" s="16" t="str">
        <x:v>direct; supporting | direct; supporting</x:v>
      </x:c>
      <x:c r="K232" s="16" t="str">
        <x:v>OWASP_WSTG; OWASP_API; OWASP_ATWA; OWASP_TOP10; NIST_CSF; ISO31000</x:v>
      </x:c>
      <x:c r="L232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2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2" s="16" t="str">
        <x:v>not_assessed</x:v>
      </x:c>
      <x:c r="O232" s="16" t="str"/>
      <x:c r="P232" s="18" t="str"/>
      <x:c r="Q232" s="16" t="str"/>
      <x:c r="R232" s="16" t="str"/>
      <x:c r="S232" s="16" t="str"/>
      <x:c r="T232" s="18" t="str"/>
      <x:c r="U232" s="16" t="str"/>
      <x:c r="V232" s="16" t="n">
        <x:v>0</x:v>
      </x:c>
    </x:row>
    <x:row r="233">
      <x:c r="A233" s="16" t="str">
        <x:v>FWPRO-BUSINESS-006</x:v>
      </x:c>
      <x:c r="B233" s="16" t="str">
        <x:v>BUSINESS</x:v>
      </x:c>
      <x:c r="C233" s="16" t="str">
        <x:v>Business logic, automation abuse and resource limits</x:v>
      </x:c>
      <x:c r="D233" s="16" t="str">
        <x:v>Detect and mitigate scraping, credential stuffing, scalping, fake-account creation and resource hoarding where relevant.</x:v>
      </x:c>
      <x:c r="E233" s="16" t="str">
        <x:v>An accountable owner/reviewer confirms the control using current artifacts or reproducible test steps; exceptions have rationale, approver, compensating control and expiry. Control objective: Detect and mitigate scraping, credential stuffing, scalping, fake-account creation and resource hoarding where relevant.</x:v>
      </x:c>
      <x:c r="F233" s="16" t="str">
        <x:v>Reviewer steps, expected/observed result, sanitized evidence, impact, reviewer and approval/ticket.</x:v>
      </x:c>
      <x:c r="G233" s="16" t="str">
        <x:v>manual_review</x:v>
      </x:c>
      <x:c r="H233" s="16" t="str">
        <x:v>P1</x:v>
      </x:c>
      <x:c r="I233" s="16" t="str">
        <x:v>conditional</x:v>
      </x:c>
      <x:c r="J233" s="16" t="str">
        <x:v>direct; supporting | direct; supporting</x:v>
      </x:c>
      <x:c r="K233" s="16" t="str">
        <x:v>OWASP_WSTG; OWASP_API; OWASP_ATWA; OWASP_TOP10; NIST_CSF; ISO31000</x:v>
      </x:c>
      <x:c r="L233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3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3" s="16" t="str">
        <x:v>not_assessed</x:v>
      </x:c>
      <x:c r="O233" s="16" t="str"/>
      <x:c r="P233" s="18" t="str"/>
      <x:c r="Q233" s="16" t="str"/>
      <x:c r="R233" s="16" t="str"/>
      <x:c r="S233" s="16" t="str"/>
      <x:c r="T233" s="18" t="str"/>
      <x:c r="U233" s="16" t="str"/>
      <x:c r="V233" s="16" t="n">
        <x:v>0</x:v>
      </x:c>
    </x:row>
    <x:row r="234">
      <x:c r="A234" s="16" t="str">
        <x:v>FWPRO-BUSINESS-007</x:v>
      </x:c>
      <x:c r="B234" s="16" t="str">
        <x:v>BUSINESS</x:v>
      </x:c>
      <x:c r="C234" s="16" t="str">
        <x:v>Business logic, automation abuse and resource limits</x:v>
      </x:c>
      <x:c r="D234" s="16" t="str">
        <x:v>Prevent replay of signed requests, webhooks, invitations and one-time actions beyond allowed windows.</x:v>
      </x:c>
      <x:c r="E234" s="16" t="str">
        <x:v>An accountable owner/reviewer confirms the control using current artifacts or reproducible test steps; exceptions have rationale, approver, compensating control and expiry. Control objective: Prevent replay of signed requests, webhooks, invitations and one-time actions beyond allowed windows.</x:v>
      </x:c>
      <x:c r="F234" s="16" t="str">
        <x:v>Reviewer steps, expected/observed result, sanitized evidence, impact, reviewer and approval/ticket.</x:v>
      </x:c>
      <x:c r="G234" s="16" t="str">
        <x:v>manual_review</x:v>
      </x:c>
      <x:c r="H234" s="16" t="str">
        <x:v>P1</x:v>
      </x:c>
      <x:c r="I234" s="16" t="str">
        <x:v>conditional</x:v>
      </x:c>
      <x:c r="J234" s="16" t="str">
        <x:v>direct; supporting | direct; supporting</x:v>
      </x:c>
      <x:c r="K234" s="16" t="str">
        <x:v>OWASP_WSTG; OWASP_API; OWASP_ATWA; OWASP_TOP10; NIST_CSF; ISO31000</x:v>
      </x:c>
      <x:c r="L234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4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4" s="16" t="str">
        <x:v>not_assessed</x:v>
      </x:c>
      <x:c r="O234" s="16" t="str"/>
      <x:c r="P234" s="18" t="str"/>
      <x:c r="Q234" s="16" t="str"/>
      <x:c r="R234" s="16" t="str"/>
      <x:c r="S234" s="16" t="str"/>
      <x:c r="T234" s="18" t="str"/>
      <x:c r="U234" s="16" t="str"/>
      <x:c r="V234" s="16" t="n">
        <x:v>0</x:v>
      </x:c>
    </x:row>
    <x:row r="235">
      <x:c r="A235" s="16" t="str">
        <x:v>FWPRO-BUSINESS-008</x:v>
      </x:c>
      <x:c r="B235" s="16" t="str">
        <x:v>BUSINESS</x:v>
      </x:c>
      <x:c r="C235" s="16" t="str">
        <x:v>Business logic, automation abuse and resource limits</x:v>
      </x:c>
      <x:c r="D235" s="16" t="str">
        <x:v>Verify workflow ownership and role authorization across every step, not just entry pages.</x:v>
      </x:c>
      <x:c r="E235" s="16" t="str">
        <x:v>An accountable owner/reviewer confirms the control using current artifacts or reproducible test steps; exceptions have rationale, approver, compensating control and expiry. Control objective: Verify workflow ownership and role authorization across every step, not just entry pages.</x:v>
      </x:c>
      <x:c r="F235" s="16" t="str">
        <x:v>Reviewer steps, expected/observed result, sanitized evidence, impact, reviewer and approval/ticket.</x:v>
      </x:c>
      <x:c r="G235" s="16" t="str">
        <x:v>manual_review</x:v>
      </x:c>
      <x:c r="H235" s="16" t="str">
        <x:v>P1</x:v>
      </x:c>
      <x:c r="I235" s="16" t="str">
        <x:v>conditional</x:v>
      </x:c>
      <x:c r="J235" s="16" t="str">
        <x:v>direct; supporting | direct; supporting</x:v>
      </x:c>
      <x:c r="K235" s="16" t="str">
        <x:v>OWASP_WSTG; OWASP_API; OWASP_ATWA; OWASP_TOP10; NIST_CSF; ISO31000</x:v>
      </x:c>
      <x:c r="L235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5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5" s="16" t="str">
        <x:v>not_assessed</x:v>
      </x:c>
      <x:c r="O235" s="16" t="str"/>
      <x:c r="P235" s="18" t="str"/>
      <x:c r="Q235" s="16" t="str"/>
      <x:c r="R235" s="16" t="str"/>
      <x:c r="S235" s="16" t="str"/>
      <x:c r="T235" s="18" t="str"/>
      <x:c r="U235" s="16" t="str"/>
      <x:c r="V235" s="16" t="n">
        <x:v>0</x:v>
      </x:c>
    </x:row>
    <x:row r="236">
      <x:c r="A236" s="16" t="str">
        <x:v>FWPRO-BUSINESS-009</x:v>
      </x:c>
      <x:c r="B236" s="16" t="str">
        <x:v>BUSINESS</x:v>
      </x:c>
      <x:c r="C236" s="16" t="str">
        <x:v>Business logic, automation abuse and resource limits</x:v>
      </x:c>
      <x:c r="D236" s="16" t="str">
        <x:v>Test abuse of cancellations, refunds, coupons, referral credits and trial/entitlement logic with test fixtures.</x:v>
      </x:c>
      <x:c r="E236" s="16" t="str">
        <x:v>An accountable owner/reviewer confirms the control using current artifacts or reproducible test steps; exceptions have rationale, approver, compensating control and expiry. Control objective: Test abuse of cancellations, refunds, coupons, referral credits and trial/entitlement logic with test fixtures.</x:v>
      </x:c>
      <x:c r="F236" s="16" t="str">
        <x:v>Reviewer steps, expected/observed result, sanitized evidence, impact, reviewer and approval/ticket.</x:v>
      </x:c>
      <x:c r="G236" s="16" t="str">
        <x:v>manual_review</x:v>
      </x:c>
      <x:c r="H236" s="16" t="str">
        <x:v>P1</x:v>
      </x:c>
      <x:c r="I236" s="16" t="str">
        <x:v>conditional</x:v>
      </x:c>
      <x:c r="J236" s="16" t="str">
        <x:v>direct; supporting | direct; supporting</x:v>
      </x:c>
      <x:c r="K236" s="16" t="str">
        <x:v>OWASP_WSTG; OWASP_API; OWASP_ATWA; OWASP_TOP10; NIST_CSF; ISO31000</x:v>
      </x:c>
      <x:c r="L236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6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6" s="16" t="str">
        <x:v>not_assessed</x:v>
      </x:c>
      <x:c r="O236" s="16" t="str"/>
      <x:c r="P236" s="18" t="str"/>
      <x:c r="Q236" s="16" t="str"/>
      <x:c r="R236" s="16" t="str"/>
      <x:c r="S236" s="16" t="str"/>
      <x:c r="T236" s="18" t="str"/>
      <x:c r="U236" s="16" t="str"/>
      <x:c r="V236" s="16" t="n">
        <x:v>0</x:v>
      </x:c>
    </x:row>
    <x:row r="237">
      <x:c r="A237" s="16" t="str">
        <x:v>FWPRO-BUSINESS-010</x:v>
      </x:c>
      <x:c r="B237" s="16" t="str">
        <x:v>BUSINESS</x:v>
      </x:c>
      <x:c r="C237" s="16" t="str">
        <x:v>Business logic, automation abuse and resource limits</x:v>
      </x:c>
      <x:c r="D237" s="16" t="str">
        <x:v>Ensure race conditions cannot bypass balance, stock, quota or approval invariants.</x:v>
      </x:c>
      <x:c r="E237" s="16" t="str">
        <x:v>An accountable owner/reviewer confirms the control using current artifacts or reproducible test steps; exceptions have rationale, approver, compensating control and expiry. Control objective: Ensure race conditions cannot bypass balance, stock, quota or approval invariants.</x:v>
      </x:c>
      <x:c r="F237" s="16" t="str">
        <x:v>Reviewer steps, expected/observed result, sanitized evidence, impact, reviewer and approval/ticket.</x:v>
      </x:c>
      <x:c r="G237" s="16" t="str">
        <x:v>manual_review</x:v>
      </x:c>
      <x:c r="H237" s="16" t="str">
        <x:v>P1</x:v>
      </x:c>
      <x:c r="I237" s="16" t="str">
        <x:v>conditional</x:v>
      </x:c>
      <x:c r="J237" s="16" t="str">
        <x:v>direct; supporting | direct; supporting</x:v>
      </x:c>
      <x:c r="K237" s="16" t="str">
        <x:v>OWASP_WSTG; OWASP_API; OWASP_ATWA; OWASP_TOP10; NIST_CSF; ISO31000</x:v>
      </x:c>
      <x:c r="L237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7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7" s="16" t="str">
        <x:v>not_assessed</x:v>
      </x:c>
      <x:c r="O237" s="16" t="str"/>
      <x:c r="P237" s="18" t="str"/>
      <x:c r="Q237" s="16" t="str"/>
      <x:c r="R237" s="16" t="str"/>
      <x:c r="S237" s="16" t="str"/>
      <x:c r="T237" s="18" t="str"/>
      <x:c r="U237" s="16" t="str"/>
      <x:c r="V237" s="16" t="n">
        <x:v>0</x:v>
      </x:c>
    </x:row>
    <x:row r="238">
      <x:c r="A238" s="16" t="str">
        <x:v>FWPRO-BUSINESS-011</x:v>
      </x:c>
      <x:c r="B238" s="16" t="str">
        <x:v>BUSINESS</x:v>
      </x:c>
      <x:c r="C238" s="16" t="str">
        <x:v>Business logic, automation abuse and resource limits</x:v>
      </x:c>
      <x:c r="D238" s="16" t="str">
        <x:v>Document business-sensitive actions that require human review, step-up authentication or additional telemetry.</x:v>
      </x:c>
      <x:c r="E238" s="16" t="str">
        <x:v>An accountable owner/reviewer confirms the control using current artifacts or reproducible test steps; exceptions have rationale, approver, compensating control and expiry. Control objective: Document business-sensitive actions that require human review, step-up authentication or additional telemetry.</x:v>
      </x:c>
      <x:c r="F238" s="16" t="str">
        <x:v>Reviewer steps, expected/observed result, sanitized evidence, impact, reviewer and approval/ticket.</x:v>
      </x:c>
      <x:c r="G238" s="16" t="str">
        <x:v>manual_review</x:v>
      </x:c>
      <x:c r="H238" s="16" t="str">
        <x:v>P1</x:v>
      </x:c>
      <x:c r="I238" s="16" t="str">
        <x:v>conditional</x:v>
      </x:c>
      <x:c r="J238" s="16" t="str">
        <x:v>direct; supporting | direct; supporting</x:v>
      </x:c>
      <x:c r="K238" s="16" t="str">
        <x:v>OWASP_WSTG; OWASP_API; OWASP_ATWA; OWASP_TOP10; NIST_CSF; ISO31000</x:v>
      </x:c>
      <x:c r="L238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8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8" s="16" t="str">
        <x:v>not_assessed</x:v>
      </x:c>
      <x:c r="O238" s="16" t="str"/>
      <x:c r="P238" s="18" t="str"/>
      <x:c r="Q238" s="16" t="str"/>
      <x:c r="R238" s="16" t="str"/>
      <x:c r="S238" s="16" t="str"/>
      <x:c r="T238" s="18" t="str"/>
      <x:c r="U238" s="16" t="str"/>
      <x:c r="V238" s="16" t="n">
        <x:v>0</x:v>
      </x:c>
    </x:row>
    <x:row r="239">
      <x:c r="A239" s="16" t="str">
        <x:v>FWPRO-BUSINESS-012</x:v>
      </x:c>
      <x:c r="B239" s="16" t="str">
        <x:v>BUSINESS</x:v>
      </x:c>
      <x:c r="C239" s="16" t="str">
        <x:v>Business logic, automation abuse and resource limits</x:v>
      </x:c>
      <x:c r="D239" s="16" t="str">
        <x:v>Avoid high-volume or destructive tests on production; use staging and owner-approved synthetic datasets.</x:v>
      </x:c>
      <x:c r="E239" s="16" t="str">
        <x:v>An accountable owner/reviewer confirms the control using current artifacts or reproducible test steps; exceptions have rationale, approver, compensating control and expiry. Control objective: Avoid high-volume or destructive tests on production; use staging and owner-approved synthetic datasets.</x:v>
      </x:c>
      <x:c r="F239" s="16" t="str">
        <x:v>Reviewer steps, expected/observed result, sanitized evidence, impact, reviewer and approval/ticket.</x:v>
      </x:c>
      <x:c r="G239" s="16" t="str">
        <x:v>manual_review</x:v>
      </x:c>
      <x:c r="H239" s="16" t="str">
        <x:v>P1</x:v>
      </x:c>
      <x:c r="I239" s="16" t="str">
        <x:v>conditional</x:v>
      </x:c>
      <x:c r="J239" s="16" t="str">
        <x:v>direct; supporting | direct; supporting</x:v>
      </x:c>
      <x:c r="K239" s="16" t="str">
        <x:v>OWASP_WSTG; OWASP_API; OWASP_ATWA; OWASP_TOP10; NIST_CSF; ISO31000</x:v>
      </x:c>
      <x:c r="L239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39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39" s="16" t="str">
        <x:v>not_assessed</x:v>
      </x:c>
      <x:c r="O239" s="16" t="str"/>
      <x:c r="P239" s="18" t="str"/>
      <x:c r="Q239" s="16" t="str"/>
      <x:c r="R239" s="16" t="str"/>
      <x:c r="S239" s="16" t="str"/>
      <x:c r="T239" s="18" t="str"/>
      <x:c r="U239" s="16" t="str"/>
      <x:c r="V239" s="16" t="n">
        <x:v>0</x:v>
      </x:c>
    </x:row>
    <x:row r="240">
      <x:c r="A240" s="16" t="str">
        <x:v>FWPRO-BUSINESS-013</x:v>
      </x:c>
      <x:c r="B240" s="16" t="str">
        <x:v>BUSINESS</x:v>
      </x:c>
      <x:c r="C240" s="16" t="str">
        <x:v>Business logic, automation abuse and resource limits</x:v>
      </x:c>
      <x:c r="D240" s="16" t="str">
        <x:v>Check that expensive endpoints have bounded compute, result sizes and database work.</x:v>
      </x:c>
      <x:c r="E240" s="16" t="str">
        <x:v>An accountable owner/reviewer confirms the control using current artifacts or reproducible test steps; exceptions have rationale, approver, compensating control and expiry. Control objective: Check that expensive endpoints have bounded compute, result sizes and database work.</x:v>
      </x:c>
      <x:c r="F240" s="16" t="str">
        <x:v>Reviewer steps, expected/observed result, sanitized evidence, impact, reviewer and approval/ticket.</x:v>
      </x:c>
      <x:c r="G240" s="16" t="str">
        <x:v>manual_review</x:v>
      </x:c>
      <x:c r="H240" s="16" t="str">
        <x:v>P1</x:v>
      </x:c>
      <x:c r="I240" s="16" t="str">
        <x:v>conditional</x:v>
      </x:c>
      <x:c r="J240" s="16" t="str">
        <x:v>direct; supporting | direct; supporting</x:v>
      </x:c>
      <x:c r="K240" s="16" t="str">
        <x:v>OWASP_WSTG; OWASP_API; OWASP_ATWA; OWASP_TOP10; NIST_CSF; ISO31000</x:v>
      </x:c>
      <x:c r="L240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40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40" s="16" t="str">
        <x:v>not_assessed</x:v>
      </x:c>
      <x:c r="O240" s="16" t="str"/>
      <x:c r="P240" s="18" t="str"/>
      <x:c r="Q240" s="16" t="str"/>
      <x:c r="R240" s="16" t="str"/>
      <x:c r="S240" s="16" t="str"/>
      <x:c r="T240" s="18" t="str"/>
      <x:c r="U240" s="16" t="str"/>
      <x:c r="V240" s="16" t="n">
        <x:v>0</x:v>
      </x:c>
    </x:row>
    <x:row r="241">
      <x:c r="A241" s="16" t="str">
        <x:v>FWPRO-BUSINESS-014</x:v>
      </x:c>
      <x:c r="B241" s="16" t="str">
        <x:v>BUSINESS</x:v>
      </x:c>
      <x:c r="C241" s="16" t="str">
        <x:v>Business logic, automation abuse and resource limits</x:v>
      </x:c>
      <x:c r="D241" s="16" t="str">
        <x:v>Record business-owner validation for candidate risks that cannot be judged from HTTP response behavior alone.</x:v>
      </x:c>
      <x:c r="E241" s="16" t="str">
        <x:v>An accountable owner/reviewer confirms the control using current artifacts or reproducible test steps; exceptions have rationale, approver, compensating control and expiry. Control objective: Record business-owner validation for candidate risks that cannot be judged from HTTP response behavior alone.</x:v>
      </x:c>
      <x:c r="F241" s="16" t="str">
        <x:v>Reviewer steps, expected/observed result, sanitized evidence, impact, reviewer and approval/ticket.</x:v>
      </x:c>
      <x:c r="G241" s="16" t="str">
        <x:v>manual_review</x:v>
      </x:c>
      <x:c r="H241" s="16" t="str">
        <x:v>P1</x:v>
      </x:c>
      <x:c r="I241" s="16" t="str">
        <x:v>conditional</x:v>
      </x:c>
      <x:c r="J241" s="16" t="str">
        <x:v>direct; supporting | direct; supporting</x:v>
      </x:c>
      <x:c r="K241" s="16" t="str">
        <x:v>OWASP_WSTG; OWASP_API; OWASP_ATWA; OWASP_TOP10; NIST_CSF; ISO31000</x:v>
      </x:c>
      <x:c r="L241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41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41" s="16" t="str">
        <x:v>not_assessed</x:v>
      </x:c>
      <x:c r="O241" s="16" t="str"/>
      <x:c r="P241" s="18" t="str"/>
      <x:c r="Q241" s="16" t="str"/>
      <x:c r="R241" s="16" t="str"/>
      <x:c r="S241" s="16" t="str"/>
      <x:c r="T241" s="18" t="str"/>
      <x:c r="U241" s="16" t="str"/>
      <x:c r="V241" s="16" t="n">
        <x:v>0</x:v>
      </x:c>
    </x:row>
    <x:row r="242">
      <x:c r="A242" s="16" t="str">
        <x:v>FWPRO-BUSINESS-015</x:v>
      </x:c>
      <x:c r="B242" s="16" t="str">
        <x:v>BUSINESS</x:v>
      </x:c>
      <x:c r="C242" s="16" t="str">
        <x:v>Business logic, automation abuse and resource limits</x:v>
      </x:c>
      <x:c r="D242" s="16" t="str">
        <x:v>Define bot detection controls with privacy review and documented false-positive handling where applicable.</x:v>
      </x:c>
      <x:c r="E242" s="16" t="str">
        <x:v>An accountable owner/reviewer confirms the control using current artifacts or reproducible test steps; exceptions have rationale, approver, compensating control and expiry. Control objective: Define bot detection controls with privacy review and documented false-positive handling where applicable.</x:v>
      </x:c>
      <x:c r="F242" s="16" t="str">
        <x:v>Reviewer steps, expected/observed result, sanitized evidence, impact, reviewer and approval/ticket.</x:v>
      </x:c>
      <x:c r="G242" s="16" t="str">
        <x:v>manual_review</x:v>
      </x:c>
      <x:c r="H242" s="16" t="str">
        <x:v>P1</x:v>
      </x:c>
      <x:c r="I242" s="16" t="str">
        <x:v>conditional</x:v>
      </x:c>
      <x:c r="J242" s="16" t="str">
        <x:v>direct; supporting | direct; supporting</x:v>
      </x:c>
      <x:c r="K242" s="16" t="str">
        <x:v>OWASP_WSTG; OWASP_API; OWASP_ATWA; OWASP_TOP10; NIST_CSF; ISO31000</x:v>
      </x:c>
      <x:c r="L242" s="16" t="str">
        <x:v>OWASP Web Security Testing Guide (v4.2 (current stable)); OWASP API Security Top 10 (2023); OWASP Automated Threats to Web Applications (2023 project edition / verify current project page); OWASP Top 10 (2025 (released)); NIST Cybersecurity Framework (2.0); ISO 31000 Risk Management (2018; reviewed/confirmed current in 2023)</x:v>
      </x:c>
      <x:c r="M242" s="16" t="str">
        <x:v>https://owasp.org/www-project-web-security-testing-guide/v42/; https://owasp.org/www-project-api-security/; https://owasp.org/www-project-automated-threats-to-web-applications/; https://owasp.org/projects/top-ten; https://www.nist.gov/cyberframework; https://www.iso.org/standard/65694.html</x:v>
      </x:c>
      <x:c r="N242" s="16" t="str">
        <x:v>not_assessed</x:v>
      </x:c>
      <x:c r="O242" s="16" t="str"/>
      <x:c r="P242" s="18" t="str"/>
      <x:c r="Q242" s="16" t="str"/>
      <x:c r="R242" s="16" t="str"/>
      <x:c r="S242" s="16" t="str"/>
      <x:c r="T242" s="18" t="str"/>
      <x:c r="U242" s="16" t="str"/>
      <x:c r="V242" s="16" t="n">
        <x:v>0</x:v>
      </x:c>
    </x:row>
    <x:row r="243">
      <x:c r="A243" s="16" t="str">
        <x:v>FWPRO-ERROR-001</x:v>
      </x:c>
      <x:c r="B243" s="16" t="str">
        <x:v>ERROR</x:v>
      </x:c>
      <x:c r="C243" s="16" t="str">
        <x:v>Error handling, logging, detection and response</x:v>
      </x:c>
      <x:c r="D243" s="16" t="str">
        <x:v>Return generic client-facing errors while preserving useful, access-controlled server diagnostics.</x:v>
      </x:c>
      <x:c r="E243" s="16" t="str">
        <x:v>An accountable owner/reviewer confirms the control using current artifacts or reproducible test steps; exceptions have rationale, approver, compensating control and expiry. Control objective: Return generic client-facing errors while preserving useful, access-controlled server diagnostics.</x:v>
      </x:c>
      <x:c r="F243" s="16" t="str">
        <x:v>Reviewer steps, expected/observed result, sanitized evidence, impact, reviewer and approval/ticket.</x:v>
      </x:c>
      <x:c r="G243" s="16" t="str">
        <x:v>manual_review</x:v>
      </x:c>
      <x:c r="H243" s="16" t="str">
        <x:v>P1</x:v>
      </x:c>
      <x:c r="I243" s="16" t="str">
        <x:v>core</x:v>
      </x:c>
      <x:c r="J243" s="16" t="str">
        <x:v>direct; supporting | direct; supporting</x:v>
      </x:c>
      <x:c r="K243" s="16" t="str">
        <x:v>OWASP_TOP10; OWASP_ASVS; OWASP_WSTG; NIST_800_61; NIST_CSF; NIST_800_53; ISO27035</x:v>
      </x:c>
      <x:c r="L243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43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43" s="16" t="str">
        <x:v>not_assessed</x:v>
      </x:c>
      <x:c r="O243" s="16" t="str"/>
      <x:c r="P243" s="18" t="str"/>
      <x:c r="Q243" s="16" t="str"/>
      <x:c r="R243" s="16" t="str"/>
      <x:c r="S243" s="16" t="str"/>
      <x:c r="T243" s="18" t="str"/>
      <x:c r="U243" s="16" t="str"/>
      <x:c r="V243" s="16" t="n">
        <x:v>0</x:v>
      </x:c>
    </x:row>
    <x:row r="244">
      <x:c r="A244" s="16" t="str">
        <x:v>FWPRO-ERROR-002</x:v>
      </x:c>
      <x:c r="B244" s="16" t="str">
        <x:v>ERROR</x:v>
      </x:c>
      <x:c r="C244" s="16" t="str">
        <x:v>Error handling, logging, detection and response</x:v>
      </x:c>
      <x:c r="D244" s="16" t="str">
        <x:v>Never log passwords, access tokens, session identifiers, private keys or unredacted authorization headers.</x:v>
      </x:c>
      <x:c r="E244" s="16" t="str">
        <x:v>An accountable owner/reviewer confirms the control using current artifacts or reproducible test steps; exceptions have rationale, approver, compensating control and expiry. Control objective: Never log passwords, access tokens, session identifiers, private keys or unredacted authorization headers.</x:v>
      </x:c>
      <x:c r="F244" s="16" t="str">
        <x:v>Reviewer steps, expected/observed result, sanitized evidence, impact, reviewer and approval/ticket.</x:v>
      </x:c>
      <x:c r="G244" s="16" t="str">
        <x:v>manual_review</x:v>
      </x:c>
      <x:c r="H244" s="16" t="str">
        <x:v>P1</x:v>
      </x:c>
      <x:c r="I244" s="16" t="str">
        <x:v>core</x:v>
      </x:c>
      <x:c r="J244" s="16" t="str">
        <x:v>direct; supporting | direct; supporting</x:v>
      </x:c>
      <x:c r="K244" s="16" t="str">
        <x:v>OWASP_TOP10; OWASP_ASVS; OWASP_WSTG; NIST_800_61; NIST_CSF; NIST_800_53; ISO27035</x:v>
      </x:c>
      <x:c r="L244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44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44" s="16" t="str">
        <x:v>not_assessed</x:v>
      </x:c>
      <x:c r="O244" s="16" t="str"/>
      <x:c r="P244" s="18" t="str"/>
      <x:c r="Q244" s="16" t="str"/>
      <x:c r="R244" s="16" t="str"/>
      <x:c r="S244" s="16" t="str"/>
      <x:c r="T244" s="18" t="str"/>
      <x:c r="U244" s="16" t="str"/>
      <x:c r="V244" s="16" t="n">
        <x:v>0</x:v>
      </x:c>
    </x:row>
    <x:row r="245">
      <x:c r="A245" s="16" t="str">
        <x:v>FWPRO-ERROR-003</x:v>
      </x:c>
      <x:c r="B245" s="16" t="str">
        <x:v>ERROR</x:v>
      </x:c>
      <x:c r="C245" s="16" t="str">
        <x:v>Error handling, logging, detection and response</x:v>
      </x:c>
      <x:c r="D245" s="16" t="str">
        <x:v>Log security-relevant authentication, authorization, privilege, configuration and administrative events.</x:v>
      </x:c>
      <x:c r="E245" s="16" t="str">
        <x:v>An accountable owner/reviewer confirms the control using current artifacts or reproducible test steps; exceptions have rationale, approver, compensating control and expiry. Control objective: Log security-relevant authentication, authorization, privilege, configuration and administrative events.</x:v>
      </x:c>
      <x:c r="F245" s="16" t="str">
        <x:v>Reviewer steps, expected/observed result, sanitized evidence, impact, reviewer and approval/ticket.</x:v>
      </x:c>
      <x:c r="G245" s="16" t="str">
        <x:v>manual_review</x:v>
      </x:c>
      <x:c r="H245" s="16" t="str">
        <x:v>P1</x:v>
      </x:c>
      <x:c r="I245" s="16" t="str">
        <x:v>core</x:v>
      </x:c>
      <x:c r="J245" s="16" t="str">
        <x:v>direct; supporting | direct; supporting</x:v>
      </x:c>
      <x:c r="K245" s="16" t="str">
        <x:v>OWASP_TOP10; OWASP_ASVS; OWASP_WSTG; NIST_800_61; NIST_CSF; NIST_800_53; ISO27035</x:v>
      </x:c>
      <x:c r="L245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45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45" s="16" t="str">
        <x:v>not_assessed</x:v>
      </x:c>
      <x:c r="O245" s="16" t="str"/>
      <x:c r="P245" s="18" t="str"/>
      <x:c r="Q245" s="16" t="str"/>
      <x:c r="R245" s="16" t="str"/>
      <x:c r="S245" s="16" t="str"/>
      <x:c r="T245" s="18" t="str"/>
      <x:c r="U245" s="16" t="str"/>
      <x:c r="V245" s="16" t="n">
        <x:v>0</x:v>
      </x:c>
    </x:row>
    <x:row r="246">
      <x:c r="A246" s="16" t="str">
        <x:v>FWPRO-ERROR-004</x:v>
      </x:c>
      <x:c r="B246" s="16" t="str">
        <x:v>ERROR</x:v>
      </x:c>
      <x:c r="C246" s="16" t="str">
        <x:v>Error handling, logging, detection and response</x:v>
      </x:c>
      <x:c r="D246" s="16" t="str">
        <x:v>Protect logs against unauthorized access, tampering, truncation and uncontrolled retention.</x:v>
      </x:c>
      <x:c r="E246" s="16" t="str">
        <x:v>An accountable owner/reviewer confirms the control using current artifacts or reproducible test steps; exceptions have rationale, approver, compensating control and expiry. Control objective: Protect logs against unauthorized access, tampering, truncation and uncontrolled retention.</x:v>
      </x:c>
      <x:c r="F246" s="16" t="str">
        <x:v>Reviewer steps, expected/observed result, sanitized evidence, impact, reviewer and approval/ticket.</x:v>
      </x:c>
      <x:c r="G246" s="16" t="str">
        <x:v>manual_review</x:v>
      </x:c>
      <x:c r="H246" s="16" t="str">
        <x:v>P1</x:v>
      </x:c>
      <x:c r="I246" s="16" t="str">
        <x:v>core</x:v>
      </x:c>
      <x:c r="J246" s="16" t="str">
        <x:v>direct; supporting | direct; supporting</x:v>
      </x:c>
      <x:c r="K246" s="16" t="str">
        <x:v>OWASP_TOP10; OWASP_ASVS; OWASP_WSTG; NIST_800_61; NIST_CSF; NIST_800_53; ISO27035</x:v>
      </x:c>
      <x:c r="L246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46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46" s="16" t="str">
        <x:v>not_assessed</x:v>
      </x:c>
      <x:c r="O246" s="16" t="str"/>
      <x:c r="P246" s="18" t="str"/>
      <x:c r="Q246" s="16" t="str"/>
      <x:c r="R246" s="16" t="str"/>
      <x:c r="S246" s="16" t="str"/>
      <x:c r="T246" s="18" t="str"/>
      <x:c r="U246" s="16" t="str"/>
      <x:c r="V246" s="16" t="n">
        <x:v>0</x:v>
      </x:c>
    </x:row>
    <x:row r="247">
      <x:c r="A247" s="16" t="str">
        <x:v>FWPRO-ERROR-005</x:v>
      </x:c>
      <x:c r="B247" s="16" t="str">
        <x:v>ERROR</x:v>
      </x:c>
      <x:c r="C247" s="16" t="str">
        <x:v>Error handling, logging, detection and response</x:v>
      </x:c>
      <x:c r="D247" s="16" t="str">
        <x:v>Use reliable timestamps/time synchronization and correlate events across services.</x:v>
      </x:c>
      <x:c r="E247" s="16" t="str">
        <x:v>An accountable owner/reviewer confirms the control using current artifacts or reproducible test steps; exceptions have rationale, approver, compensating control and expiry. Control objective: Use reliable timestamps/time synchronization and correlate events across services.</x:v>
      </x:c>
      <x:c r="F247" s="16" t="str">
        <x:v>Reviewer steps, expected/observed result, sanitized evidence, impact, reviewer and approval/ticket.</x:v>
      </x:c>
      <x:c r="G247" s="16" t="str">
        <x:v>manual_review</x:v>
      </x:c>
      <x:c r="H247" s="16" t="str">
        <x:v>P1</x:v>
      </x:c>
      <x:c r="I247" s="16" t="str">
        <x:v>core</x:v>
      </x:c>
      <x:c r="J247" s="16" t="str">
        <x:v>direct; supporting | direct; supporting</x:v>
      </x:c>
      <x:c r="K247" s="16" t="str">
        <x:v>OWASP_TOP10; OWASP_ASVS; OWASP_WSTG; NIST_800_61; NIST_CSF; NIST_800_53; ISO27035</x:v>
      </x:c>
      <x:c r="L247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47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47" s="16" t="str">
        <x:v>not_assessed</x:v>
      </x:c>
      <x:c r="O247" s="16" t="str"/>
      <x:c r="P247" s="18" t="str"/>
      <x:c r="Q247" s="16" t="str"/>
      <x:c r="R247" s="16" t="str"/>
      <x:c r="S247" s="16" t="str"/>
      <x:c r="T247" s="18" t="str"/>
      <x:c r="U247" s="16" t="str"/>
      <x:c r="V247" s="16" t="n">
        <x:v>0</x:v>
      </x:c>
    </x:row>
    <x:row r="248">
      <x:c r="A248" s="16" t="str">
        <x:v>FWPRO-ERROR-006</x:v>
      </x:c>
      <x:c r="B248" s="16" t="str">
        <x:v>ERROR</x:v>
      </x:c>
      <x:c r="C248" s="16" t="str">
        <x:v>Error handling, logging, detection and response</x:v>
      </x:c>
      <x:c r="D248" s="16" t="str">
        <x:v>Alert on high-risk events and define response ownership and escalation timeframes.</x:v>
      </x:c>
      <x:c r="E248" s="16" t="str">
        <x:v>An accountable owner/reviewer confirms the control using current artifacts or reproducible test steps; exceptions have rationale, approver, compensating control and expiry. Control objective: Alert on high-risk events and define response ownership and escalation timeframes.</x:v>
      </x:c>
      <x:c r="F248" s="16" t="str">
        <x:v>Reviewer steps, expected/observed result, sanitized evidence, impact, reviewer and approval/ticket.</x:v>
      </x:c>
      <x:c r="G248" s="16" t="str">
        <x:v>manual_review</x:v>
      </x:c>
      <x:c r="H248" s="16" t="str">
        <x:v>P1</x:v>
      </x:c>
      <x:c r="I248" s="16" t="str">
        <x:v>core</x:v>
      </x:c>
      <x:c r="J248" s="16" t="str">
        <x:v>direct; supporting | direct; supporting</x:v>
      </x:c>
      <x:c r="K248" s="16" t="str">
        <x:v>OWASP_TOP10; OWASP_ASVS; OWASP_WSTG; NIST_800_61; NIST_CSF; NIST_800_53; ISO27035</x:v>
      </x:c>
      <x:c r="L248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48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48" s="16" t="str">
        <x:v>not_assessed</x:v>
      </x:c>
      <x:c r="O248" s="16" t="str"/>
      <x:c r="P248" s="18" t="str"/>
      <x:c r="Q248" s="16" t="str"/>
      <x:c r="R248" s="16" t="str"/>
      <x:c r="S248" s="16" t="str"/>
      <x:c r="T248" s="18" t="str"/>
      <x:c r="U248" s="16" t="str"/>
      <x:c r="V248" s="16" t="n">
        <x:v>0</x:v>
      </x:c>
    </x:row>
    <x:row r="249">
      <x:c r="A249" s="16" t="str">
        <x:v>FWPRO-ERROR-007</x:v>
      </x:c>
      <x:c r="B249" s="16" t="str">
        <x:v>ERROR</x:v>
      </x:c>
      <x:c r="C249" s="16" t="str">
        <x:v>Error handling, logging, detection and response</x:v>
      </x:c>
      <x:c r="D249" s="16" t="str">
        <x:v>Test alert delivery and incident response with safe tabletop exercises.</x:v>
      </x:c>
      <x:c r="E249" s="16" t="str">
        <x:v>An accountable owner/reviewer confirms the control using current artifacts or reproducible test steps; exceptions have rationale, approver, compensating control and expiry. Control objective: Test alert delivery and incident response with safe tabletop exercises.</x:v>
      </x:c>
      <x:c r="F249" s="16" t="str">
        <x:v>Reviewer steps, expected/observed result, sanitized evidence, impact, reviewer and approval/ticket.</x:v>
      </x:c>
      <x:c r="G249" s="16" t="str">
        <x:v>manual_review</x:v>
      </x:c>
      <x:c r="H249" s="16" t="str">
        <x:v>P1</x:v>
      </x:c>
      <x:c r="I249" s="16" t="str">
        <x:v>core</x:v>
      </x:c>
      <x:c r="J249" s="16" t="str">
        <x:v>direct; supporting | direct; supporting</x:v>
      </x:c>
      <x:c r="K249" s="16" t="str">
        <x:v>OWASP_TOP10; OWASP_ASVS; OWASP_WSTG; NIST_800_61; NIST_CSF; NIST_800_53; ISO27035</x:v>
      </x:c>
      <x:c r="L249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49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49" s="16" t="str">
        <x:v>not_assessed</x:v>
      </x:c>
      <x:c r="O249" s="16" t="str"/>
      <x:c r="P249" s="18" t="str"/>
      <x:c r="Q249" s="16" t="str"/>
      <x:c r="R249" s="16" t="str"/>
      <x:c r="S249" s="16" t="str"/>
      <x:c r="T249" s="18" t="str"/>
      <x:c r="U249" s="16" t="str"/>
      <x:c r="V249" s="16" t="n">
        <x:v>0</x:v>
      </x:c>
    </x:row>
    <x:row r="250">
      <x:c r="A250" s="16" t="str">
        <x:v>FWPRO-ERROR-008</x:v>
      </x:c>
      <x:c r="B250" s="16" t="str">
        <x:v>ERROR</x:v>
      </x:c>
      <x:c r="C250" s="16" t="str">
        <x:v>Error handling, logging, detection and response</x:v>
      </x:c>
      <x:c r="D250" s="16" t="str">
        <x:v>Maintain incident response procedures for credential exposure, data leakage and critical vulnerability discovery.</x:v>
      </x:c>
      <x:c r="E250" s="16" t="str">
        <x:v>An accountable owner/reviewer confirms the control using current artifacts or reproducible test steps; exceptions have rationale, approver, compensating control and expiry. Control objective: Maintain incident response procedures for credential exposure, data leakage and critical vulnerability discovery.</x:v>
      </x:c>
      <x:c r="F250" s="16" t="str">
        <x:v>Reviewer steps, expected/observed result, sanitized evidence, impact, reviewer and approval/ticket.</x:v>
      </x:c>
      <x:c r="G250" s="16" t="str">
        <x:v>manual_review</x:v>
      </x:c>
      <x:c r="H250" s="16" t="str">
        <x:v>P1</x:v>
      </x:c>
      <x:c r="I250" s="16" t="str">
        <x:v>core</x:v>
      </x:c>
      <x:c r="J250" s="16" t="str">
        <x:v>direct; supporting | direct; supporting</x:v>
      </x:c>
      <x:c r="K250" s="16" t="str">
        <x:v>OWASP_TOP10; OWASP_ASVS; OWASP_WSTG; NIST_800_61; NIST_CSF; NIST_800_53; ISO27035</x:v>
      </x:c>
      <x:c r="L250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0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0" s="16" t="str">
        <x:v>not_assessed</x:v>
      </x:c>
      <x:c r="O250" s="16" t="str"/>
      <x:c r="P250" s="18" t="str"/>
      <x:c r="Q250" s="16" t="str"/>
      <x:c r="R250" s="16" t="str"/>
      <x:c r="S250" s="16" t="str"/>
      <x:c r="T250" s="18" t="str"/>
      <x:c r="U250" s="16" t="str"/>
      <x:c r="V250" s="16" t="n">
        <x:v>0</x:v>
      </x:c>
    </x:row>
    <x:row r="251">
      <x:c r="A251" s="16" t="str">
        <x:v>FWPRO-ERROR-009</x:v>
      </x:c>
      <x:c r="B251" s="16" t="str">
        <x:v>ERROR</x:v>
      </x:c>
      <x:c r="C251" s="16" t="str">
        <x:v>Error handling, logging, detection and response</x:v>
      </x:c>
      <x:c r="D251" s="16" t="str">
        <x:v>Document evidence-preservation and chain-of-custody practices for investigations.</x:v>
      </x:c>
      <x:c r="E251" s="16" t="str">
        <x:v>An accountable owner/reviewer confirms the control using current artifacts or reproducible test steps; exceptions have rationale, approver, compensating control and expiry. Control objective: Document evidence-preservation and chain-of-custody practices for investigations.</x:v>
      </x:c>
      <x:c r="F251" s="16" t="str">
        <x:v>Reviewer steps, expected/observed result, sanitized evidence, impact, reviewer and approval/ticket.</x:v>
      </x:c>
      <x:c r="G251" s="16" t="str">
        <x:v>manual_review</x:v>
      </x:c>
      <x:c r="H251" s="16" t="str">
        <x:v>P1</x:v>
      </x:c>
      <x:c r="I251" s="16" t="str">
        <x:v>core</x:v>
      </x:c>
      <x:c r="J251" s="16" t="str">
        <x:v>direct; supporting | direct; supporting</x:v>
      </x:c>
      <x:c r="K251" s="16" t="str">
        <x:v>OWASP_TOP10; OWASP_ASVS; OWASP_WSTG; NIST_800_61; NIST_CSF; NIST_800_53; ISO27035</x:v>
      </x:c>
      <x:c r="L251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1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1" s="16" t="str">
        <x:v>not_assessed</x:v>
      </x:c>
      <x:c r="O251" s="16" t="str"/>
      <x:c r="P251" s="18" t="str"/>
      <x:c r="Q251" s="16" t="str"/>
      <x:c r="R251" s="16" t="str"/>
      <x:c r="S251" s="16" t="str"/>
      <x:c r="T251" s="18" t="str"/>
      <x:c r="U251" s="16" t="str"/>
      <x:c r="V251" s="16" t="n">
        <x:v>0</x:v>
      </x:c>
    </x:row>
    <x:row r="252">
      <x:c r="A252" s="16" t="str">
        <x:v>FWPRO-ERROR-010</x:v>
      </x:c>
      <x:c r="B252" s="16" t="str">
        <x:v>ERROR</x:v>
      </x:c>
      <x:c r="C252" s="16" t="str">
        <x:v>Error handling, logging, detection and response</x:v>
      </x:c>
      <x:c r="D252" s="16" t="str">
        <x:v>Define how security findings are classified, assigned, tracked, accepted and closed.</x:v>
      </x:c>
      <x:c r="E252" s="16" t="str">
        <x:v>An accountable owner/reviewer confirms the control using current artifacts or reproducible test steps; exceptions have rationale, approver, compensating control and expiry. Control objective: Define how security findings are classified, assigned, tracked, accepted and closed.</x:v>
      </x:c>
      <x:c r="F252" s="16" t="str">
        <x:v>Reviewer steps, expected/observed result, sanitized evidence, impact, reviewer and approval/ticket.</x:v>
      </x:c>
      <x:c r="G252" s="16" t="str">
        <x:v>manual_review</x:v>
      </x:c>
      <x:c r="H252" s="16" t="str">
        <x:v>P1</x:v>
      </x:c>
      <x:c r="I252" s="16" t="str">
        <x:v>core</x:v>
      </x:c>
      <x:c r="J252" s="16" t="str">
        <x:v>direct; supporting | direct; supporting</x:v>
      </x:c>
      <x:c r="K252" s="16" t="str">
        <x:v>OWASP_TOP10; OWASP_ASVS; OWASP_WSTG; NIST_800_61; NIST_CSF; NIST_800_53; ISO27035</x:v>
      </x:c>
      <x:c r="L252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2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2" s="16" t="str">
        <x:v>not_assessed</x:v>
      </x:c>
      <x:c r="O252" s="16" t="str"/>
      <x:c r="P252" s="18" t="str"/>
      <x:c r="Q252" s="16" t="str"/>
      <x:c r="R252" s="16" t="str"/>
      <x:c r="S252" s="16" t="str"/>
      <x:c r="T252" s="18" t="str"/>
      <x:c r="U252" s="16" t="str"/>
      <x:c r="V252" s="16" t="n">
        <x:v>0</x:v>
      </x:c>
    </x:row>
    <x:row r="253">
      <x:c r="A253" s="16" t="str">
        <x:v>FWPRO-ERROR-011</x:v>
      </x:c>
      <x:c r="B253" s="16" t="str">
        <x:v>ERROR</x:v>
      </x:c>
      <x:c r="C253" s="16" t="str">
        <x:v>Error handling, logging, detection and response</x:v>
      </x:c>
      <x:c r="D253" s="16" t="str">
        <x:v>Test that log contents are sanitized against CR/LF and structured-log injection.</x:v>
      </x:c>
      <x:c r="E253" s="16" t="str">
        <x:v>An accountable owner/reviewer confirms the control using current artifacts or reproducible test steps; exceptions have rationale, approver, compensating control and expiry. Control objective: Test that log contents are sanitized against CR/LF and structured-log injection.</x:v>
      </x:c>
      <x:c r="F253" s="16" t="str">
        <x:v>Reviewer steps, expected/observed result, sanitized evidence, impact, reviewer and approval/ticket.</x:v>
      </x:c>
      <x:c r="G253" s="16" t="str">
        <x:v>manual_review</x:v>
      </x:c>
      <x:c r="H253" s="16" t="str">
        <x:v>P1</x:v>
      </x:c>
      <x:c r="I253" s="16" t="str">
        <x:v>core</x:v>
      </x:c>
      <x:c r="J253" s="16" t="str">
        <x:v>direct; supporting | direct; supporting</x:v>
      </x:c>
      <x:c r="K253" s="16" t="str">
        <x:v>OWASP_TOP10; OWASP_ASVS; OWASP_WSTG; NIST_800_61; NIST_CSF; NIST_800_53; ISO27035</x:v>
      </x:c>
      <x:c r="L253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3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3" s="16" t="str">
        <x:v>not_assessed</x:v>
      </x:c>
      <x:c r="O253" s="16" t="str"/>
      <x:c r="P253" s="18" t="str"/>
      <x:c r="Q253" s="16" t="str"/>
      <x:c r="R253" s="16" t="str"/>
      <x:c r="S253" s="16" t="str"/>
      <x:c r="T253" s="18" t="str"/>
      <x:c r="U253" s="16" t="str"/>
      <x:c r="V253" s="16" t="n">
        <x:v>0</x:v>
      </x:c>
    </x:row>
    <x:row r="254">
      <x:c r="A254" s="16" t="str">
        <x:v>FWPRO-ERROR-012</x:v>
      </x:c>
      <x:c r="B254" s="16" t="str">
        <x:v>ERROR</x:v>
      </x:c>
      <x:c r="C254" s="16" t="str">
        <x:v>Error handling, logging, detection and response</x:v>
      </x:c>
      <x:c r="D254" s="16" t="str">
        <x:v>Separate operational logs from security audit events where required by assurance needs.</x:v>
      </x:c>
      <x:c r="E254" s="16" t="str">
        <x:v>An accountable owner/reviewer confirms the control using current artifacts or reproducible test steps; exceptions have rationale, approver, compensating control and expiry. Control objective: Separate operational logs from security audit events where required by assurance needs.</x:v>
      </x:c>
      <x:c r="F254" s="16" t="str">
        <x:v>Reviewer steps, expected/observed result, sanitized evidence, impact, reviewer and approval/ticket.</x:v>
      </x:c>
      <x:c r="G254" s="16" t="str">
        <x:v>manual_review</x:v>
      </x:c>
      <x:c r="H254" s="16" t="str">
        <x:v>P1</x:v>
      </x:c>
      <x:c r="I254" s="16" t="str">
        <x:v>core</x:v>
      </x:c>
      <x:c r="J254" s="16" t="str">
        <x:v>direct; supporting | direct; supporting</x:v>
      </x:c>
      <x:c r="K254" s="16" t="str">
        <x:v>OWASP_TOP10; OWASP_ASVS; OWASP_WSTG; NIST_800_61; NIST_CSF; NIST_800_53; ISO27035</x:v>
      </x:c>
      <x:c r="L254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4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4" s="16" t="str">
        <x:v>not_assessed</x:v>
      </x:c>
      <x:c r="O254" s="16" t="str"/>
      <x:c r="P254" s="18" t="str"/>
      <x:c r="Q254" s="16" t="str"/>
      <x:c r="R254" s="16" t="str"/>
      <x:c r="S254" s="16" t="str"/>
      <x:c r="T254" s="18" t="str"/>
      <x:c r="U254" s="16" t="str"/>
      <x:c r="V254" s="16" t="n">
        <x:v>0</x:v>
      </x:c>
    </x:row>
    <x:row r="255">
      <x:c r="A255" s="16" t="str">
        <x:v>FWPRO-ERROR-013</x:v>
      </x:c>
      <x:c r="B255" s="16" t="str">
        <x:v>ERROR</x:v>
      </x:c>
      <x:c r="C255" s="16" t="str">
        <x:v>Error handling, logging, detection and response</x:v>
      </x:c>
      <x:c r="D255" s="16" t="str">
        <x:v>Use monitoring to detect abnormal rates, unusual role changes and suspicious business workflows.</x:v>
      </x:c>
      <x:c r="E255" s="16" t="str">
        <x:v>An accountable owner/reviewer confirms the control using current artifacts or reproducible test steps; exceptions have rationale, approver, compensating control and expiry. Control objective: Use monitoring to detect abnormal rates, unusual role changes and suspicious business workflows.</x:v>
      </x:c>
      <x:c r="F255" s="16" t="str">
        <x:v>Reviewer steps, expected/observed result, sanitized evidence, impact, reviewer and approval/ticket.</x:v>
      </x:c>
      <x:c r="G255" s="16" t="str">
        <x:v>manual_review</x:v>
      </x:c>
      <x:c r="H255" s="16" t="str">
        <x:v>P1</x:v>
      </x:c>
      <x:c r="I255" s="16" t="str">
        <x:v>core</x:v>
      </x:c>
      <x:c r="J255" s="16" t="str">
        <x:v>direct; supporting | direct; supporting</x:v>
      </x:c>
      <x:c r="K255" s="16" t="str">
        <x:v>OWASP_TOP10; OWASP_ASVS; OWASP_WSTG; NIST_800_61; NIST_CSF; NIST_800_53; ISO27035</x:v>
      </x:c>
      <x:c r="L255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5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5" s="16" t="str">
        <x:v>not_assessed</x:v>
      </x:c>
      <x:c r="O255" s="16" t="str"/>
      <x:c r="P255" s="18" t="str"/>
      <x:c r="Q255" s="16" t="str"/>
      <x:c r="R255" s="16" t="str"/>
      <x:c r="S255" s="16" t="str"/>
      <x:c r="T255" s="18" t="str"/>
      <x:c r="U255" s="16" t="str"/>
      <x:c r="V255" s="16" t="n">
        <x:v>0</x:v>
      </x:c>
    </x:row>
    <x:row r="256">
      <x:c r="A256" s="16" t="str">
        <x:v>FWPRO-ERROR-014</x:v>
      </x:c>
      <x:c r="B256" s="16" t="str">
        <x:v>ERROR</x:v>
      </x:c>
      <x:c r="C256" s="16" t="str">
        <x:v>Error handling, logging, detection and response</x:v>
      </x:c>
      <x:c r="D256" s="16" t="str">
        <x:v>Maintain response playbooks for scanner-induced instability and accidental out-of-scope requests.</x:v>
      </x:c>
      <x:c r="E256" s="16" t="str">
        <x:v>An accountable owner/reviewer confirms the control using current artifacts or reproducible test steps; exceptions have rationale, approver, compensating control and expiry. Control objective: Maintain response playbooks for scanner-induced instability and accidental out-of-scope requests.</x:v>
      </x:c>
      <x:c r="F256" s="16" t="str">
        <x:v>Reviewer steps, expected/observed result, sanitized evidence, impact, reviewer and approval/ticket.</x:v>
      </x:c>
      <x:c r="G256" s="16" t="str">
        <x:v>manual_review</x:v>
      </x:c>
      <x:c r="H256" s="16" t="str">
        <x:v>P1</x:v>
      </x:c>
      <x:c r="I256" s="16" t="str">
        <x:v>core</x:v>
      </x:c>
      <x:c r="J256" s="16" t="str">
        <x:v>direct; supporting | direct; supporting</x:v>
      </x:c>
      <x:c r="K256" s="16" t="str">
        <x:v>OWASP_TOP10; OWASP_ASVS; OWASP_WSTG; NIST_800_61; NIST_CSF; NIST_800_53; ISO27035</x:v>
      </x:c>
      <x:c r="L256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6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6" s="16" t="str">
        <x:v>not_assessed</x:v>
      </x:c>
      <x:c r="O256" s="16" t="str"/>
      <x:c r="P256" s="18" t="str"/>
      <x:c r="Q256" s="16" t="str"/>
      <x:c r="R256" s="16" t="str"/>
      <x:c r="S256" s="16" t="str"/>
      <x:c r="T256" s="18" t="str"/>
      <x:c r="U256" s="16" t="str"/>
      <x:c r="V256" s="16" t="n">
        <x:v>0</x:v>
      </x:c>
    </x:row>
    <x:row r="257">
      <x:c r="A257" s="16" t="str">
        <x:v>FWPRO-ERROR-015</x:v>
      </x:c>
      <x:c r="B257" s="16" t="str">
        <x:v>ERROR</x:v>
      </x:c>
      <x:c r="C257" s="16" t="str">
        <x:v>Error handling, logging, detection and response</x:v>
      </x:c>
      <x:c r="D257" s="16" t="str">
        <x:v>Record lessons learned and feed root causes back into secure design and regression tests.</x:v>
      </x:c>
      <x:c r="E257" s="16" t="str">
        <x:v>An accountable owner/reviewer confirms the control using current artifacts or reproducible test steps; exceptions have rationale, approver, compensating control and expiry. Control objective: Record lessons learned and feed root causes back into secure design and regression tests.</x:v>
      </x:c>
      <x:c r="F257" s="16" t="str">
        <x:v>Reviewer steps, expected/observed result, sanitized evidence, impact, reviewer and approval/ticket.</x:v>
      </x:c>
      <x:c r="G257" s="16" t="str">
        <x:v>manual_review</x:v>
      </x:c>
      <x:c r="H257" s="16" t="str">
        <x:v>P1</x:v>
      </x:c>
      <x:c r="I257" s="16" t="str">
        <x:v>core</x:v>
      </x:c>
      <x:c r="J257" s="16" t="str">
        <x:v>direct; supporting | direct; supporting</x:v>
      </x:c>
      <x:c r="K257" s="16" t="str">
        <x:v>OWASP_TOP10; OWASP_ASVS; OWASP_WSTG; NIST_800_61; NIST_CSF; NIST_800_53; ISO27035</x:v>
      </x:c>
      <x:c r="L257" s="16" t="str">
        <x:v>OWASP Top 10 (2025 (released)); OWASP Application Security Verification Standard (5.0.0 (stable)); OWASP Web Security Testing Guide (v4.2 (current stable)); NIST SP 800-61 Incident Response (Rev. 3 (2025)); NIST Cybersecurity Framework (2.0); NIST SP 800-53 Security and Privacy Controls (Rev. 5 + current errata); ISO/IEC 27035-1 Incident Management (2023)</x:v>
      </x:c>
      <x:c r="M257" s="16" t="str">
        <x:v>https://owasp.org/projects/top-ten; https://owasp.org/www-project-application-security-verification-standard/; https://owasp.org/www-project-web-security-testing-guide/v42/; https://csrc.nist.gov/pubs/sp/800/61/r3/final; https://www.nist.gov/cyberframework; https://csrc.nist.gov/pubs/sp/800/53/r5/upd1/final; https://www.iso.org/standard/78973.html</x:v>
      </x:c>
      <x:c r="N257" s="16" t="str">
        <x:v>not_assessed</x:v>
      </x:c>
      <x:c r="O257" s="16" t="str"/>
      <x:c r="P257" s="18" t="str"/>
      <x:c r="Q257" s="16" t="str"/>
      <x:c r="R257" s="16" t="str"/>
      <x:c r="S257" s="16" t="str"/>
      <x:c r="T257" s="18" t="str"/>
      <x:c r="U257" s="16" t="str"/>
      <x:c r="V257" s="16" t="n">
        <x:v>0</x:v>
      </x:c>
    </x:row>
    <x:row r="258">
      <x:c r="A258" s="16" t="str">
        <x:v>FWPRO-SDLC-001</x:v>
      </x:c>
      <x:c r="B258" s="16" t="str">
        <x:v>SDLC</x:v>
      </x:c>
      <x:c r="C258" s="16" t="str">
        <x:v>Secure development lifecycle and verification</x:v>
      </x:c>
      <x:c r="D258" s="16" t="str">
        <x:v>Define a documented secure development lifecycle that covers requirements, design, implementation, verification, release and operations.</x:v>
      </x:c>
      <x:c r="E258" s="16" t="str">
        <x:v>An accountable owner/reviewer confirms the control using current artifacts or reproducible test steps; exceptions have rationale, approver, compensating control and expiry. Control objective: Define a documented secure development lifecycle that covers requirements, design, implementation, verification, release and operations.</x:v>
      </x:c>
      <x:c r="F258" s="16" t="str">
        <x:v>Approved policy/process, responsible owner, sample records, review cadence and exceptions log.</x:v>
      </x:c>
      <x:c r="G258" s="16" t="str">
        <x:v>interview_or_evidence</x:v>
      </x:c>
      <x:c r="H258" s="16" t="str">
        <x:v>P1</x:v>
      </x:c>
      <x:c r="I258" s="16" t="str">
        <x:v>core</x:v>
      </x:c>
      <x:c r="J258" s="16" t="str">
        <x:v>direct; supporting | direct; supporting</x:v>
      </x:c>
      <x:c r="K258" s="16" t="str">
        <x:v>OWASP_SAMM; OWASP_ASVS; NIST_SSDF; NIST_CSF; ISO27034; ISO27001; CISA_SECURE_BY_DESIGN; OPENSSF_SCORECARD; SLSA; SLSA_PROVENANCE</x:v>
      </x:c>
      <x:c r="L258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58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58" s="16" t="str">
        <x:v>not_assessed</x:v>
      </x:c>
      <x:c r="O258" s="16" t="str"/>
      <x:c r="P258" s="18" t="str"/>
      <x:c r="Q258" s="16" t="str"/>
      <x:c r="R258" s="16" t="str"/>
      <x:c r="S258" s="16" t="str"/>
      <x:c r="T258" s="18" t="str"/>
      <x:c r="U258" s="16" t="str"/>
      <x:c r="V258" s="16" t="n">
        <x:v>0</x:v>
      </x:c>
    </x:row>
    <x:row r="259">
      <x:c r="A259" s="16" t="str">
        <x:v>FWPRO-SDLC-002</x:v>
      </x:c>
      <x:c r="B259" s="16" t="str">
        <x:v>SDLC</x:v>
      </x:c>
      <x:c r="C259" s="16" t="str">
        <x:v>Secure development lifecycle and verification</x:v>
      </x:c>
      <x:c r="D259" s="16" t="str">
        <x:v>Train developers and reviewers on relevant vulnerability classes and secure patterns.</x:v>
      </x:c>
      <x:c r="E259" s="16" t="str">
        <x:v>An accountable owner/reviewer confirms the control using current artifacts or reproducible test steps; exceptions have rationale, approver, compensating control and expiry. Control objective: Train developers and reviewers on relevant vulnerability classes and secure patterns.</x:v>
      </x:c>
      <x:c r="F259" s="16" t="str">
        <x:v>Approved policy/process, responsible owner, sample records, review cadence and exceptions log.</x:v>
      </x:c>
      <x:c r="G259" s="16" t="str">
        <x:v>interview_or_evidence</x:v>
      </x:c>
      <x:c r="H259" s="16" t="str">
        <x:v>P1</x:v>
      </x:c>
      <x:c r="I259" s="16" t="str">
        <x:v>core</x:v>
      </x:c>
      <x:c r="J259" s="16" t="str">
        <x:v>direct; supporting | direct; supporting</x:v>
      </x:c>
      <x:c r="K259" s="16" t="str">
        <x:v>OWASP_SAMM; OWASP_ASVS; NIST_SSDF; NIST_CSF; ISO27034; ISO27001; CISA_SECURE_BY_DESIGN; OPENSSF_SCORECARD; SLSA; SLSA_PROVENANCE</x:v>
      </x:c>
      <x:c r="L259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59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59" s="16" t="str">
        <x:v>not_assessed</x:v>
      </x:c>
      <x:c r="O259" s="16" t="str"/>
      <x:c r="P259" s="18" t="str"/>
      <x:c r="Q259" s="16" t="str"/>
      <x:c r="R259" s="16" t="str"/>
      <x:c r="S259" s="16" t="str"/>
      <x:c r="T259" s="18" t="str"/>
      <x:c r="U259" s="16" t="str"/>
      <x:c r="V259" s="16" t="n">
        <x:v>0</x:v>
      </x:c>
    </x:row>
    <x:row r="260">
      <x:c r="A260" s="16" t="str">
        <x:v>FWPRO-SDLC-003</x:v>
      </x:c>
      <x:c r="B260" s="16" t="str">
        <x:v>SDLC</x:v>
      </x:c>
      <x:c r="C260" s="16" t="str">
        <x:v>Secure development lifecycle and verification</x:v>
      </x:c>
      <x:c r="D260" s="16" t="str">
        <x:v>Require peer review and risk-based security review before merging sensitive changes.</x:v>
      </x:c>
      <x:c r="E260" s="16" t="str">
        <x:v>An accountable owner/reviewer confirms the control using current artifacts or reproducible test steps; exceptions have rationale, approver, compensating control and expiry. Control objective: Require peer review and risk-based security review before merging sensitive changes.</x:v>
      </x:c>
      <x:c r="F260" s="16" t="str">
        <x:v>Approved policy/process, responsible owner, sample records, review cadence and exceptions log.</x:v>
      </x:c>
      <x:c r="G260" s="16" t="str">
        <x:v>interview_or_evidence</x:v>
      </x:c>
      <x:c r="H260" s="16" t="str">
        <x:v>P1</x:v>
      </x:c>
      <x:c r="I260" s="16" t="str">
        <x:v>core</x:v>
      </x:c>
      <x:c r="J260" s="16" t="str">
        <x:v>direct; supporting | direct; supporting</x:v>
      </x:c>
      <x:c r="K260" s="16" t="str">
        <x:v>OWASP_SAMM; OWASP_ASVS; NIST_SSDF; NIST_CSF; ISO27034; ISO27001; CISA_SECURE_BY_DESIGN; OPENSSF_SCORECARD; SLSA; SLSA_PROVENANCE</x:v>
      </x:c>
      <x:c r="L260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0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0" s="16" t="str">
        <x:v>not_assessed</x:v>
      </x:c>
      <x:c r="O260" s="16" t="str"/>
      <x:c r="P260" s="18" t="str"/>
      <x:c r="Q260" s="16" t="str"/>
      <x:c r="R260" s="16" t="str"/>
      <x:c r="S260" s="16" t="str"/>
      <x:c r="T260" s="18" t="str"/>
      <x:c r="U260" s="16" t="str"/>
      <x:c r="V260" s="16" t="n">
        <x:v>0</x:v>
      </x:c>
    </x:row>
    <x:row r="261">
      <x:c r="A261" s="16" t="str">
        <x:v>FWPRO-SDLC-004</x:v>
      </x:c>
      <x:c r="B261" s="16" t="str">
        <x:v>SDLC</x:v>
      </x:c>
      <x:c r="C261" s="16" t="str">
        <x:v>Secure development lifecycle and verification</x:v>
      </x:c>
      <x:c r="D261" s="16" t="str">
        <x:v>Use code analysis and secret detection in CI for relevant repositories.</x:v>
      </x:c>
      <x:c r="E261" s="16" t="str">
        <x:v>An accountable owner/reviewer confirms the control using current artifacts or reproducible test steps; exceptions have rationale, approver, compensating control and expiry. Control objective: Use code analysis and secret detection in CI for relevant repositories.</x:v>
      </x:c>
      <x:c r="F261" s="16" t="str">
        <x:v>Approved policy/process, responsible owner, sample records, review cadence and exceptions log.</x:v>
      </x:c>
      <x:c r="G261" s="16" t="str">
        <x:v>interview_or_evidence</x:v>
      </x:c>
      <x:c r="H261" s="16" t="str">
        <x:v>P1</x:v>
      </x:c>
      <x:c r="I261" s="16" t="str">
        <x:v>core</x:v>
      </x:c>
      <x:c r="J261" s="16" t="str">
        <x:v>direct; supporting | direct; supporting</x:v>
      </x:c>
      <x:c r="K261" s="16" t="str">
        <x:v>OWASP_SAMM; OWASP_ASVS; NIST_SSDF; NIST_CSF; ISO27034; ISO27001; CISA_SECURE_BY_DESIGN; OPENSSF_SCORECARD; SLSA; SLSA_PROVENANCE</x:v>
      </x:c>
      <x:c r="L261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1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1" s="16" t="str">
        <x:v>not_assessed</x:v>
      </x:c>
      <x:c r="O261" s="16" t="str"/>
      <x:c r="P261" s="18" t="str"/>
      <x:c r="Q261" s="16" t="str"/>
      <x:c r="R261" s="16" t="str"/>
      <x:c r="S261" s="16" t="str"/>
      <x:c r="T261" s="18" t="str"/>
      <x:c r="U261" s="16" t="str"/>
      <x:c r="V261" s="16" t="n">
        <x:v>0</x:v>
      </x:c>
    </x:row>
    <x:row r="262">
      <x:c r="A262" s="16" t="str">
        <x:v>FWPRO-SDLC-005</x:v>
      </x:c>
      <x:c r="B262" s="16" t="str">
        <x:v>SDLC</x:v>
      </x:c>
      <x:c r="C262" s="16" t="str">
        <x:v>Secure development lifecycle and verification</x:v>
      </x:c>
      <x:c r="D262" s="16" t="str">
        <x:v>Run unit, integration, API contract and security regression tests in CI.</x:v>
      </x:c>
      <x:c r="E262" s="16" t="str">
        <x:v>An accountable owner/reviewer confirms the control using current artifacts or reproducible test steps; exceptions have rationale, approver, compensating control and expiry. Control objective: Run unit, integration, API contract and security regression tests in CI.</x:v>
      </x:c>
      <x:c r="F262" s="16" t="str">
        <x:v>Approved policy/process, responsible owner, sample records, review cadence and exceptions log.</x:v>
      </x:c>
      <x:c r="G262" s="16" t="str">
        <x:v>interview_or_evidence</x:v>
      </x:c>
      <x:c r="H262" s="16" t="str">
        <x:v>P1</x:v>
      </x:c>
      <x:c r="I262" s="16" t="str">
        <x:v>core</x:v>
      </x:c>
      <x:c r="J262" s="16" t="str">
        <x:v>direct; supporting | direct; supporting</x:v>
      </x:c>
      <x:c r="K262" s="16" t="str">
        <x:v>OWASP_SAMM; OWASP_ASVS; NIST_SSDF; NIST_CSF; ISO27034; ISO27001; CISA_SECURE_BY_DESIGN; OPENSSF_SCORECARD; SLSA; SLSA_PROVENANCE</x:v>
      </x:c>
      <x:c r="L262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2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2" s="16" t="str">
        <x:v>not_assessed</x:v>
      </x:c>
      <x:c r="O262" s="16" t="str"/>
      <x:c r="P262" s="18" t="str"/>
      <x:c r="Q262" s="16" t="str"/>
      <x:c r="R262" s="16" t="str"/>
      <x:c r="S262" s="16" t="str"/>
      <x:c r="T262" s="18" t="str"/>
      <x:c r="U262" s="16" t="str"/>
      <x:c r="V262" s="16" t="n">
        <x:v>0</x:v>
      </x:c>
    </x:row>
    <x:row r="263">
      <x:c r="A263" s="16" t="str">
        <x:v>FWPRO-SDLC-006</x:v>
      </x:c>
      <x:c r="B263" s="16" t="str">
        <x:v>SDLC</x:v>
      </x:c>
      <x:c r="C263" s="16" t="str">
        <x:v>Secure development lifecycle and verification</x:v>
      </x:c>
      <x:c r="D263" s="16" t="str">
        <x:v>Require tests for vulnerability fixes and security-relevant incident root causes.</x:v>
      </x:c>
      <x:c r="E263" s="16" t="str">
        <x:v>An accountable owner/reviewer confirms the control using current artifacts or reproducible test steps; exceptions have rationale, approver, compensating control and expiry. Control objective: Require tests for vulnerability fixes and security-relevant incident root causes.</x:v>
      </x:c>
      <x:c r="F263" s="16" t="str">
        <x:v>Approved policy/process, responsible owner, sample records, review cadence and exceptions log.</x:v>
      </x:c>
      <x:c r="G263" s="16" t="str">
        <x:v>interview_or_evidence</x:v>
      </x:c>
      <x:c r="H263" s="16" t="str">
        <x:v>P1</x:v>
      </x:c>
      <x:c r="I263" s="16" t="str">
        <x:v>core</x:v>
      </x:c>
      <x:c r="J263" s="16" t="str">
        <x:v>direct; supporting | direct; supporting</x:v>
      </x:c>
      <x:c r="K263" s="16" t="str">
        <x:v>OWASP_SAMM; OWASP_ASVS; NIST_SSDF; NIST_CSF; ISO27034; ISO27001; CISA_SECURE_BY_DESIGN; OPENSSF_SCORECARD; SLSA; SLSA_PROVENANCE</x:v>
      </x:c>
      <x:c r="L263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3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3" s="16" t="str">
        <x:v>not_assessed</x:v>
      </x:c>
      <x:c r="O263" s="16" t="str"/>
      <x:c r="P263" s="18" t="str"/>
      <x:c r="Q263" s="16" t="str"/>
      <x:c r="R263" s="16" t="str"/>
      <x:c r="S263" s="16" t="str"/>
      <x:c r="T263" s="18" t="str"/>
      <x:c r="U263" s="16" t="str"/>
      <x:c r="V263" s="16" t="n">
        <x:v>0</x:v>
      </x:c>
    </x:row>
    <x:row r="264">
      <x:c r="A264" s="16" t="str">
        <x:v>FWPRO-SDLC-007</x:v>
      </x:c>
      <x:c r="B264" s="16" t="str">
        <x:v>SDLC</x:v>
      </x:c>
      <x:c r="C264" s="16" t="str">
        <x:v>Secure development lifecycle and verification</x:v>
      </x:c>
      <x:c r="D264" s="16" t="str">
        <x:v>Establish security acceptance criteria for high-risk features before implementation.</x:v>
      </x:c>
      <x:c r="E264" s="16" t="str">
        <x:v>An accountable owner/reviewer confirms the control using current artifacts or reproducible test steps; exceptions have rationale, approver, compensating control and expiry. Control objective: Establish security acceptance criteria for high-risk features before implementation.</x:v>
      </x:c>
      <x:c r="F264" s="16" t="str">
        <x:v>Approved policy/process, responsible owner, sample records, review cadence and exceptions log.</x:v>
      </x:c>
      <x:c r="G264" s="16" t="str">
        <x:v>interview_or_evidence</x:v>
      </x:c>
      <x:c r="H264" s="16" t="str">
        <x:v>P1</x:v>
      </x:c>
      <x:c r="I264" s="16" t="str">
        <x:v>core</x:v>
      </x:c>
      <x:c r="J264" s="16" t="str">
        <x:v>direct; supporting | direct; supporting</x:v>
      </x:c>
      <x:c r="K264" s="16" t="str">
        <x:v>OWASP_SAMM; OWASP_ASVS; NIST_SSDF; NIST_CSF; ISO27034; ISO27001; CISA_SECURE_BY_DESIGN; OPENSSF_SCORECARD; SLSA; SLSA_PROVENANCE</x:v>
      </x:c>
      <x:c r="L264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4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4" s="16" t="str">
        <x:v>not_assessed</x:v>
      </x:c>
      <x:c r="O264" s="16" t="str"/>
      <x:c r="P264" s="18" t="str"/>
      <x:c r="Q264" s="16" t="str"/>
      <x:c r="R264" s="16" t="str"/>
      <x:c r="S264" s="16" t="str"/>
      <x:c r="T264" s="18" t="str"/>
      <x:c r="U264" s="16" t="str"/>
      <x:c r="V264" s="16" t="n">
        <x:v>0</x:v>
      </x:c>
    </x:row>
    <x:row r="265">
      <x:c r="A265" s="16" t="str">
        <x:v>FWPRO-SDLC-008</x:v>
      </x:c>
      <x:c r="B265" s="16" t="str">
        <x:v>SDLC</x:v>
      </x:c>
      <x:c r="C265" s="16" t="str">
        <x:v>Secure development lifecycle and verification</x:v>
      </x:c>
      <x:c r="D265" s="16" t="str">
        <x:v>Keep security exceptions traceable, time-bound and approved by an accountable owner.</x:v>
      </x:c>
      <x:c r="E265" s="16" t="str">
        <x:v>An accountable owner/reviewer confirms the control using current artifacts or reproducible test steps; exceptions have rationale, approver, compensating control and expiry. Control objective: Keep security exceptions traceable, time-bound and approved by an accountable owner.</x:v>
      </x:c>
      <x:c r="F265" s="16" t="str">
        <x:v>Approved policy/process, responsible owner, sample records, review cadence and exceptions log.</x:v>
      </x:c>
      <x:c r="G265" s="16" t="str">
        <x:v>interview_or_evidence</x:v>
      </x:c>
      <x:c r="H265" s="16" t="str">
        <x:v>P1</x:v>
      </x:c>
      <x:c r="I265" s="16" t="str">
        <x:v>core</x:v>
      </x:c>
      <x:c r="J265" s="16" t="str">
        <x:v>direct; supporting | direct; supporting</x:v>
      </x:c>
      <x:c r="K265" s="16" t="str">
        <x:v>OWASP_SAMM; OWASP_ASVS; NIST_SSDF; NIST_CSF; ISO27034; ISO27001; CISA_SECURE_BY_DESIGN; OPENSSF_SCORECARD; SLSA; SLSA_PROVENANCE</x:v>
      </x:c>
      <x:c r="L265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5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5" s="16" t="str">
        <x:v>not_assessed</x:v>
      </x:c>
      <x:c r="O265" s="16" t="str"/>
      <x:c r="P265" s="18" t="str"/>
      <x:c r="Q265" s="16" t="str"/>
      <x:c r="R265" s="16" t="str"/>
      <x:c r="S265" s="16" t="str"/>
      <x:c r="T265" s="18" t="str"/>
      <x:c r="U265" s="16" t="str"/>
      <x:c r="V265" s="16" t="n">
        <x:v>0</x:v>
      </x:c>
    </x:row>
    <x:row r="266">
      <x:c r="A266" s="16" t="str">
        <x:v>FWPRO-SDLC-009</x:v>
      </x:c>
      <x:c r="B266" s="16" t="str">
        <x:v>SDLC</x:v>
      </x:c>
      <x:c r="C266" s="16" t="str">
        <x:v>Secure development lifecycle and verification</x:v>
      </x:c>
      <x:c r="D266" s="16" t="str">
        <x:v>Run threat modeling for significant design changes and external integrations.</x:v>
      </x:c>
      <x:c r="E266" s="16" t="str">
        <x:v>An accountable owner/reviewer confirms the control using current artifacts or reproducible test steps; exceptions have rationale, approver, compensating control and expiry. Control objective: Run threat modeling for significant design changes and external integrations.</x:v>
      </x:c>
      <x:c r="F266" s="16" t="str">
        <x:v>Approved policy/process, responsible owner, sample records, review cadence and exceptions log.</x:v>
      </x:c>
      <x:c r="G266" s="16" t="str">
        <x:v>interview_or_evidence</x:v>
      </x:c>
      <x:c r="H266" s="16" t="str">
        <x:v>P1</x:v>
      </x:c>
      <x:c r="I266" s="16" t="str">
        <x:v>core</x:v>
      </x:c>
      <x:c r="J266" s="16" t="str">
        <x:v>direct; supporting | direct; supporting</x:v>
      </x:c>
      <x:c r="K266" s="16" t="str">
        <x:v>OWASP_SAMM; OWASP_ASVS; NIST_SSDF; NIST_CSF; ISO27034; ISO27001; CISA_SECURE_BY_DESIGN; OPENSSF_SCORECARD; SLSA; SLSA_PROVENANCE</x:v>
      </x:c>
      <x:c r="L266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6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6" s="16" t="str">
        <x:v>not_assessed</x:v>
      </x:c>
      <x:c r="O266" s="16" t="str"/>
      <x:c r="P266" s="18" t="str"/>
      <x:c r="Q266" s="16" t="str"/>
      <x:c r="R266" s="16" t="str"/>
      <x:c r="S266" s="16" t="str"/>
      <x:c r="T266" s="18" t="str"/>
      <x:c r="U266" s="16" t="str"/>
      <x:c r="V266" s="16" t="n">
        <x:v>0</x:v>
      </x:c>
    </x:row>
    <x:row r="267">
      <x:c r="A267" s="16" t="str">
        <x:v>FWPRO-SDLC-010</x:v>
      </x:c>
      <x:c r="B267" s="16" t="str">
        <x:v>SDLC</x:v>
      </x:c>
      <x:c r="C267" s="16" t="str">
        <x:v>Secure development lifecycle and verification</x:v>
      </x:c>
      <x:c r="D267" s="16" t="str">
        <x:v>Separate build, test and release privileges and restrict CI tokens to least privilege.</x:v>
      </x:c>
      <x:c r="E267" s="16" t="str">
        <x:v>An accountable owner/reviewer confirms the control using current artifacts or reproducible test steps; exceptions have rationale, approver, compensating control and expiry. Control objective: Separate build, test and release privileges and restrict CI tokens to least privilege.</x:v>
      </x:c>
      <x:c r="F267" s="16" t="str">
        <x:v>Approved policy/process, responsible owner, sample records, review cadence and exceptions log.</x:v>
      </x:c>
      <x:c r="G267" s="16" t="str">
        <x:v>interview_or_evidence</x:v>
      </x:c>
      <x:c r="H267" s="16" t="str">
        <x:v>P1</x:v>
      </x:c>
      <x:c r="I267" s="16" t="str">
        <x:v>core</x:v>
      </x:c>
      <x:c r="J267" s="16" t="str">
        <x:v>direct; supporting | direct; supporting</x:v>
      </x:c>
      <x:c r="K267" s="16" t="str">
        <x:v>OWASP_SAMM; OWASP_ASVS; NIST_SSDF; NIST_CSF; ISO27034; ISO27001; CISA_SECURE_BY_DESIGN; OPENSSF_SCORECARD; SLSA; SLSA_PROVENANCE</x:v>
      </x:c>
      <x:c r="L267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7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7" s="16" t="str">
        <x:v>not_assessed</x:v>
      </x:c>
      <x:c r="O267" s="16" t="str"/>
      <x:c r="P267" s="18" t="str"/>
      <x:c r="Q267" s="16" t="str"/>
      <x:c r="R267" s="16" t="str"/>
      <x:c r="S267" s="16" t="str"/>
      <x:c r="T267" s="18" t="str"/>
      <x:c r="U267" s="16" t="str"/>
      <x:c r="V267" s="16" t="n">
        <x:v>0</x:v>
      </x:c>
    </x:row>
    <x:row r="268">
      <x:c r="A268" s="16" t="str">
        <x:v>FWPRO-SDLC-011</x:v>
      </x:c>
      <x:c r="B268" s="16" t="str">
        <x:v>SDLC</x:v>
      </x:c>
      <x:c r="C268" s="16" t="str">
        <x:v>Secure development lifecycle and verification</x:v>
      </x:c>
      <x:c r="D268" s="16" t="str">
        <x:v>Protect build and deployment workflows from untrusted pull-request code execution.</x:v>
      </x:c>
      <x:c r="E268" s="16" t="str">
        <x:v>An accountable owner/reviewer confirms the control using current artifacts or reproducible test steps; exceptions have rationale, approver, compensating control and expiry. Control objective: Protect build and deployment workflows from untrusted pull-request code execution.</x:v>
      </x:c>
      <x:c r="F268" s="16" t="str">
        <x:v>Approved policy/process, responsible owner, sample records, review cadence and exceptions log.</x:v>
      </x:c>
      <x:c r="G268" s="16" t="str">
        <x:v>interview_or_evidence</x:v>
      </x:c>
      <x:c r="H268" s="16" t="str">
        <x:v>P1</x:v>
      </x:c>
      <x:c r="I268" s="16" t="str">
        <x:v>core</x:v>
      </x:c>
      <x:c r="J268" s="16" t="str">
        <x:v>direct; supporting | direct; supporting</x:v>
      </x:c>
      <x:c r="K268" s="16" t="str">
        <x:v>OWASP_SAMM; OWASP_ASVS; NIST_SSDF; NIST_CSF; ISO27034; ISO27001; CISA_SECURE_BY_DESIGN; OPENSSF_SCORECARD; SLSA; SLSA_PROVENANCE</x:v>
      </x:c>
      <x:c r="L268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8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8" s="16" t="str">
        <x:v>not_assessed</x:v>
      </x:c>
      <x:c r="O268" s="16" t="str"/>
      <x:c r="P268" s="18" t="str"/>
      <x:c r="Q268" s="16" t="str"/>
      <x:c r="R268" s="16" t="str"/>
      <x:c r="S268" s="16" t="str"/>
      <x:c r="T268" s="18" t="str"/>
      <x:c r="U268" s="16" t="str"/>
      <x:c r="V268" s="16" t="n">
        <x:v>0</x:v>
      </x:c>
    </x:row>
    <x:row r="269">
      <x:c r="A269" s="16" t="str">
        <x:v>FWPRO-SDLC-012</x:v>
      </x:c>
      <x:c r="B269" s="16" t="str">
        <x:v>SDLC</x:v>
      </x:c>
      <x:c r="C269" s="16" t="str">
        <x:v>Secure development lifecycle and verification</x:v>
      </x:c>
      <x:c r="D269" s="16" t="str">
        <x:v>Pin third-party actions and build dependencies to immutable versions/identifiers where feasible.</x:v>
      </x:c>
      <x:c r="E269" s="16" t="str">
        <x:v>An accountable owner/reviewer confirms the control using current artifacts or reproducible test steps; exceptions have rationale, approver, compensating control and expiry. Control objective: Pin third-party actions and build dependencies to immutable versions/identifiers where feasible.</x:v>
      </x:c>
      <x:c r="F269" s="16" t="str">
        <x:v>Approved policy/process, responsible owner, sample records, review cadence and exceptions log.</x:v>
      </x:c>
      <x:c r="G269" s="16" t="str">
        <x:v>interview_or_evidence</x:v>
      </x:c>
      <x:c r="H269" s="16" t="str">
        <x:v>P1</x:v>
      </x:c>
      <x:c r="I269" s="16" t="str">
        <x:v>core</x:v>
      </x:c>
      <x:c r="J269" s="16" t="str">
        <x:v>direct; supporting | direct; supporting</x:v>
      </x:c>
      <x:c r="K269" s="16" t="str">
        <x:v>OWASP_SAMM; OWASP_ASVS; NIST_SSDF; NIST_CSF; ISO27034; ISO27001; CISA_SECURE_BY_DESIGN; OPENSSF_SCORECARD; SLSA; SLSA_PROVENANCE</x:v>
      </x:c>
      <x:c r="L269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69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69" s="16" t="str">
        <x:v>not_assessed</x:v>
      </x:c>
      <x:c r="O269" s="16" t="str"/>
      <x:c r="P269" s="18" t="str"/>
      <x:c r="Q269" s="16" t="str"/>
      <x:c r="R269" s="16" t="str"/>
      <x:c r="S269" s="16" t="str"/>
      <x:c r="T269" s="18" t="str"/>
      <x:c r="U269" s="16" t="str"/>
      <x:c r="V269" s="16" t="n">
        <x:v>0</x:v>
      </x:c>
    </x:row>
    <x:row r="270">
      <x:c r="A270" s="16" t="str">
        <x:v>FWPRO-SDLC-013</x:v>
      </x:c>
      <x:c r="B270" s="16" t="str">
        <x:v>SDLC</x:v>
      </x:c>
      <x:c r="C270" s="16" t="str">
        <x:v>Secure development lifecycle and verification</x:v>
      </x:c>
      <x:c r="D270" s="16" t="str">
        <x:v>Use isolated, ephemeral and access-limited build agents for release pipelines.</x:v>
      </x:c>
      <x:c r="E270" s="16" t="str">
        <x:v>An accountable owner/reviewer confirms the control using current artifacts or reproducible test steps; exceptions have rationale, approver, compensating control and expiry. Control objective: Use isolated, ephemeral and access-limited build agents for release pipelines.</x:v>
      </x:c>
      <x:c r="F270" s="16" t="str">
        <x:v>Approved policy/process, responsible owner, sample records, review cadence and exceptions log.</x:v>
      </x:c>
      <x:c r="G270" s="16" t="str">
        <x:v>interview_or_evidence</x:v>
      </x:c>
      <x:c r="H270" s="16" t="str">
        <x:v>P1</x:v>
      </x:c>
      <x:c r="I270" s="16" t="str">
        <x:v>core</x:v>
      </x:c>
      <x:c r="J270" s="16" t="str">
        <x:v>direct; supporting | direct; supporting</x:v>
      </x:c>
      <x:c r="K270" s="16" t="str">
        <x:v>OWASP_SAMM; OWASP_ASVS; NIST_SSDF; NIST_CSF; ISO27034; ISO27001; CISA_SECURE_BY_DESIGN; OPENSSF_SCORECARD; SLSA; SLSA_PROVENANCE</x:v>
      </x:c>
      <x:c r="L270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0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0" s="16" t="str">
        <x:v>not_assessed</x:v>
      </x:c>
      <x:c r="O270" s="16" t="str"/>
      <x:c r="P270" s="18" t="str"/>
      <x:c r="Q270" s="16" t="str"/>
      <x:c r="R270" s="16" t="str"/>
      <x:c r="S270" s="16" t="str"/>
      <x:c r="T270" s="18" t="str"/>
      <x:c r="U270" s="16" t="str"/>
      <x:c r="V270" s="16" t="n">
        <x:v>0</x:v>
      </x:c>
    </x:row>
    <x:row r="271">
      <x:c r="A271" s="16" t="str">
        <x:v>FWPRO-SDLC-014</x:v>
      </x:c>
      <x:c r="B271" s="16" t="str">
        <x:v>SDLC</x:v>
      </x:c>
      <x:c r="C271" s="16" t="str">
        <x:v>Secure development lifecycle and verification</x:v>
      </x:c>
      <x:c r="D271" s="16" t="str">
        <x:v>Require artifact provenance and integrity verification for production releases where supported.</x:v>
      </x:c>
      <x:c r="E271" s="16" t="str">
        <x:v>An accountable owner/reviewer confirms the control using current artifacts or reproducible test steps; exceptions have rationale, approver, compensating control and expiry. Control objective: Require artifact provenance and integrity verification for production releases where supported.</x:v>
      </x:c>
      <x:c r="F271" s="16" t="str">
        <x:v>Approved policy/process, responsible owner, sample records, review cadence and exceptions log.</x:v>
      </x:c>
      <x:c r="G271" s="16" t="str">
        <x:v>interview_or_evidence</x:v>
      </x:c>
      <x:c r="H271" s="16" t="str">
        <x:v>P1</x:v>
      </x:c>
      <x:c r="I271" s="16" t="str">
        <x:v>core</x:v>
      </x:c>
      <x:c r="J271" s="16" t="str">
        <x:v>direct; supporting | direct; supporting</x:v>
      </x:c>
      <x:c r="K271" s="16" t="str">
        <x:v>OWASP_SAMM; OWASP_ASVS; NIST_SSDF; NIST_CSF; ISO27034; ISO27001; CISA_SECURE_BY_DESIGN; OPENSSF_SCORECARD; SLSA; SLSA_PROVENANCE</x:v>
      </x:c>
      <x:c r="L271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1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1" s="16" t="str">
        <x:v>not_assessed</x:v>
      </x:c>
      <x:c r="O271" s="16" t="str"/>
      <x:c r="P271" s="18" t="str"/>
      <x:c r="Q271" s="16" t="str"/>
      <x:c r="R271" s="16" t="str"/>
      <x:c r="S271" s="16" t="str"/>
      <x:c r="T271" s="18" t="str"/>
      <x:c r="U271" s="16" t="str"/>
      <x:c r="V271" s="16" t="n">
        <x:v>0</x:v>
      </x:c>
    </x:row>
    <x:row r="272">
      <x:c r="A272" s="16" t="str">
        <x:v>FWPRO-SDLC-015</x:v>
      </x:c>
      <x:c r="B272" s="16" t="str">
        <x:v>SDLC</x:v>
      </x:c>
      <x:c r="C272" s="16" t="str">
        <x:v>Secure development lifecycle and verification</x:v>
      </x:c>
      <x:c r="D272" s="16" t="str">
        <x:v>Use reproducible or repeatable build practices when proportionate and technically feasible.</x:v>
      </x:c>
      <x:c r="E272" s="16" t="str">
        <x:v>An accountable owner/reviewer confirms the control using current artifacts or reproducible test steps; exceptions have rationale, approver, compensating control and expiry. Control objective: Use reproducible or repeatable build practices when proportionate and technically feasible.</x:v>
      </x:c>
      <x:c r="F272" s="16" t="str">
        <x:v>Approved policy/process, responsible owner, sample records, review cadence and exceptions log.</x:v>
      </x:c>
      <x:c r="G272" s="16" t="str">
        <x:v>interview_or_evidence</x:v>
      </x:c>
      <x:c r="H272" s="16" t="str">
        <x:v>P1</x:v>
      </x:c>
      <x:c r="I272" s="16" t="str">
        <x:v>core</x:v>
      </x:c>
      <x:c r="J272" s="16" t="str">
        <x:v>direct; supporting | direct; supporting</x:v>
      </x:c>
      <x:c r="K272" s="16" t="str">
        <x:v>OWASP_SAMM; OWASP_ASVS; NIST_SSDF; NIST_CSF; ISO27034; ISO27001; CISA_SECURE_BY_DESIGN; OPENSSF_SCORECARD; SLSA; SLSA_PROVENANCE</x:v>
      </x:c>
      <x:c r="L272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2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2" s="16" t="str">
        <x:v>not_assessed</x:v>
      </x:c>
      <x:c r="O272" s="16" t="str"/>
      <x:c r="P272" s="18" t="str"/>
      <x:c r="Q272" s="16" t="str"/>
      <x:c r="R272" s="16" t="str"/>
      <x:c r="S272" s="16" t="str"/>
      <x:c r="T272" s="18" t="str"/>
      <x:c r="U272" s="16" t="str"/>
      <x:c r="V272" s="16" t="n">
        <x:v>0</x:v>
      </x:c>
    </x:row>
    <x:row r="273">
      <x:c r="A273" s="16" t="str">
        <x:v>FWPRO-SDLC-016</x:v>
      </x:c>
      <x:c r="B273" s="16" t="str">
        <x:v>SDLC</x:v>
      </x:c>
      <x:c r="C273" s="16" t="str">
        <x:v>Secure development lifecycle and verification</x:v>
      </x:c>
      <x:c r="D273" s="16" t="str">
        <x:v>Maintain an inventory of source repositories, release branches and maintainers.</x:v>
      </x:c>
      <x:c r="E273" s="16" t="str">
        <x:v>An accountable owner/reviewer confirms the control using current artifacts or reproducible test steps; exceptions have rationale, approver, compensating control and expiry. Control objective: Maintain an inventory of source repositories, release branches and maintainers.</x:v>
      </x:c>
      <x:c r="F273" s="16" t="str">
        <x:v>Approved policy/process, responsible owner, sample records, review cadence and exceptions log.</x:v>
      </x:c>
      <x:c r="G273" s="16" t="str">
        <x:v>interview_or_evidence</x:v>
      </x:c>
      <x:c r="H273" s="16" t="str">
        <x:v>P1</x:v>
      </x:c>
      <x:c r="I273" s="16" t="str">
        <x:v>core</x:v>
      </x:c>
      <x:c r="J273" s="16" t="str">
        <x:v>direct; supporting | direct; supporting</x:v>
      </x:c>
      <x:c r="K273" s="16" t="str">
        <x:v>OWASP_SAMM; OWASP_ASVS; NIST_SSDF; NIST_CSF; ISO27034; ISO27001; CISA_SECURE_BY_DESIGN; OPENSSF_SCORECARD; SLSA; SLSA_PROVENANCE</x:v>
      </x:c>
      <x:c r="L273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3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3" s="16" t="str">
        <x:v>not_assessed</x:v>
      </x:c>
      <x:c r="O273" s="16" t="str"/>
      <x:c r="P273" s="18" t="str"/>
      <x:c r="Q273" s="16" t="str"/>
      <x:c r="R273" s="16" t="str"/>
      <x:c r="S273" s="16" t="str"/>
      <x:c r="T273" s="18" t="str"/>
      <x:c r="U273" s="16" t="str"/>
      <x:c r="V273" s="16" t="n">
        <x:v>0</x:v>
      </x:c>
    </x:row>
    <x:row r="274">
      <x:c r="A274" s="16" t="str">
        <x:v>FWPRO-SDLC-017</x:v>
      </x:c>
      <x:c r="B274" s="16" t="str">
        <x:v>SDLC</x:v>
      </x:c>
      <x:c r="C274" s="16" t="str">
        <x:v>Secure development lifecycle and verification</x:v>
      </x:c>
      <x:c r="D274" s="16" t="str">
        <x:v>Define change approval, emergency change and rollback processes for security-sensitive releases.</x:v>
      </x:c>
      <x:c r="E274" s="16" t="str">
        <x:v>An accountable owner/reviewer confirms the control using current artifacts or reproducible test steps; exceptions have rationale, approver, compensating control and expiry. Control objective: Define change approval, emergency change and rollback processes for security-sensitive releases.</x:v>
      </x:c>
      <x:c r="F274" s="16" t="str">
        <x:v>Approved policy/process, responsible owner, sample records, review cadence and exceptions log.</x:v>
      </x:c>
      <x:c r="G274" s="16" t="str">
        <x:v>interview_or_evidence</x:v>
      </x:c>
      <x:c r="H274" s="16" t="str">
        <x:v>P1</x:v>
      </x:c>
      <x:c r="I274" s="16" t="str">
        <x:v>core</x:v>
      </x:c>
      <x:c r="J274" s="16" t="str">
        <x:v>direct; supporting | direct; supporting</x:v>
      </x:c>
      <x:c r="K274" s="16" t="str">
        <x:v>OWASP_SAMM; OWASP_ASVS; NIST_SSDF; NIST_CSF; ISO27034; ISO27001; CISA_SECURE_BY_DESIGN; OPENSSF_SCORECARD; SLSA; SLSA_PROVENANCE</x:v>
      </x:c>
      <x:c r="L274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4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4" s="16" t="str">
        <x:v>not_assessed</x:v>
      </x:c>
      <x:c r="O274" s="16" t="str"/>
      <x:c r="P274" s="18" t="str"/>
      <x:c r="Q274" s="16" t="str"/>
      <x:c r="R274" s="16" t="str"/>
      <x:c r="S274" s="16" t="str"/>
      <x:c r="T274" s="18" t="str"/>
      <x:c r="U274" s="16" t="str"/>
      <x:c r="V274" s="16" t="n">
        <x:v>0</x:v>
      </x:c>
    </x:row>
    <x:row r="275">
      <x:c r="A275" s="16" t="str">
        <x:v>FWPRO-SDLC-018</x:v>
      </x:c>
      <x:c r="B275" s="16" t="str">
        <x:v>SDLC</x:v>
      </x:c>
      <x:c r="C275" s="16" t="str">
        <x:v>Secure development lifecycle and verification</x:v>
      </x:c>
      <x:c r="D275" s="16" t="str">
        <x:v>Perform independent penetration testing for high-risk releases and major architecture changes.</x:v>
      </x:c>
      <x:c r="E275" s="16" t="str">
        <x:v>An accountable owner/reviewer confirms the control using current artifacts or reproducible test steps; exceptions have rationale, approver, compensating control and expiry. Control objective: Perform independent penetration testing for high-risk releases and major architecture changes.</x:v>
      </x:c>
      <x:c r="F275" s="16" t="str">
        <x:v>Approved policy/process, responsible owner, sample records, review cadence and exceptions log.</x:v>
      </x:c>
      <x:c r="G275" s="16" t="str">
        <x:v>interview_or_evidence</x:v>
      </x:c>
      <x:c r="H275" s="16" t="str">
        <x:v>P1</x:v>
      </x:c>
      <x:c r="I275" s="16" t="str">
        <x:v>core</x:v>
      </x:c>
      <x:c r="J275" s="16" t="str">
        <x:v>direct; supporting | direct; supporting</x:v>
      </x:c>
      <x:c r="K275" s="16" t="str">
        <x:v>OWASP_SAMM; OWASP_ASVS; NIST_SSDF; NIST_CSF; ISO27034; ISO27001; CISA_SECURE_BY_DESIGN; OPENSSF_SCORECARD; SLSA; SLSA_PROVENANCE</x:v>
      </x:c>
      <x:c r="L275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5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5" s="16" t="str">
        <x:v>not_assessed</x:v>
      </x:c>
      <x:c r="O275" s="16" t="str"/>
      <x:c r="P275" s="18" t="str"/>
      <x:c r="Q275" s="16" t="str"/>
      <x:c r="R275" s="16" t="str"/>
      <x:c r="S275" s="16" t="str"/>
      <x:c r="T275" s="18" t="str"/>
      <x:c r="U275" s="16" t="str"/>
      <x:c r="V275" s="16" t="n">
        <x:v>0</x:v>
      </x:c>
    </x:row>
    <x:row r="276">
      <x:c r="A276" s="16" t="str">
        <x:v>FWPRO-SDLC-019</x:v>
      </x:c>
      <x:c r="B276" s="16" t="str">
        <x:v>SDLC</x:v>
      </x:c>
      <x:c r="C276" s="16" t="str">
        <x:v>Secure development lifecycle and verification</x:v>
      </x:c>
      <x:c r="D276" s="16" t="str">
        <x:v>Track test coverage by requirements and risk instead of using line coverage as a security-quality proxy.</x:v>
      </x:c>
      <x:c r="E276" s="16" t="str">
        <x:v>An accountable owner/reviewer confirms the control using current artifacts or reproducible test steps; exceptions have rationale, approver, compensating control and expiry. Control objective: Track test coverage by requirements and risk instead of using line coverage as a security-quality proxy.</x:v>
      </x:c>
      <x:c r="F276" s="16" t="str">
        <x:v>Approved policy/process, responsible owner, sample records, review cadence and exceptions log.</x:v>
      </x:c>
      <x:c r="G276" s="16" t="str">
        <x:v>interview_or_evidence</x:v>
      </x:c>
      <x:c r="H276" s="16" t="str">
        <x:v>P1</x:v>
      </x:c>
      <x:c r="I276" s="16" t="str">
        <x:v>core</x:v>
      </x:c>
      <x:c r="J276" s="16" t="str">
        <x:v>direct; supporting | direct; supporting</x:v>
      </x:c>
      <x:c r="K276" s="16" t="str">
        <x:v>OWASP_SAMM; OWASP_ASVS; NIST_SSDF; NIST_CSF; ISO27034; ISO27001; CISA_SECURE_BY_DESIGN; OPENSSF_SCORECARD; SLSA; SLSA_PROVENANCE</x:v>
      </x:c>
      <x:c r="L276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6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6" s="16" t="str">
        <x:v>not_assessed</x:v>
      </x:c>
      <x:c r="O276" s="16" t="str"/>
      <x:c r="P276" s="18" t="str"/>
      <x:c r="Q276" s="16" t="str"/>
      <x:c r="R276" s="16" t="str"/>
      <x:c r="S276" s="16" t="str"/>
      <x:c r="T276" s="18" t="str"/>
      <x:c r="U276" s="16" t="str"/>
      <x:c r="V276" s="16" t="n">
        <x:v>0</x:v>
      </x:c>
    </x:row>
    <x:row r="277">
      <x:c r="A277" s="16" t="str">
        <x:v>FWPRO-SDLC-020</x:v>
      </x:c>
      <x:c r="B277" s="16" t="str">
        <x:v>SDLC</x:v>
      </x:c>
      <x:c r="C277" s="16" t="str">
        <x:v>Secure development lifecycle and verification</x:v>
      </x:c>
      <x:c r="D277" s="16" t="str">
        <x:v>Measure vulnerability age, recurrence, remediation SLA and exception expiry.</x:v>
      </x:c>
      <x:c r="E277" s="16" t="str">
        <x:v>An accountable owner/reviewer confirms the control using current artifacts or reproducible test steps; exceptions have rationale, approver, compensating control and expiry. Control objective: Measure vulnerability age, recurrence, remediation SLA and exception expiry.</x:v>
      </x:c>
      <x:c r="F277" s="16" t="str">
        <x:v>Approved policy/process, responsible owner, sample records, review cadence and exceptions log.</x:v>
      </x:c>
      <x:c r="G277" s="16" t="str">
        <x:v>interview_or_evidence</x:v>
      </x:c>
      <x:c r="H277" s="16" t="str">
        <x:v>P1</x:v>
      </x:c>
      <x:c r="I277" s="16" t="str">
        <x:v>core</x:v>
      </x:c>
      <x:c r="J277" s="16" t="str">
        <x:v>direct; supporting | direct; supporting</x:v>
      </x:c>
      <x:c r="K277" s="16" t="str">
        <x:v>OWASP_SAMM; OWASP_ASVS; NIST_SSDF; NIST_CSF; ISO27034; ISO27001; CISA_SECURE_BY_DESIGN; OPENSSF_SCORECARD; SLSA; SLSA_PROVENANCE</x:v>
      </x:c>
      <x:c r="L277" s="16" t="str">
        <x:v>OWASP Software Assurance Maturity Model (2.2.0 (project-listed)); OWASP Application Security Verification Standard (5.0.0 (stable)); NIST SP 800-218 Secure Software Development Framework (1.1); NIST Cybersecurity Framework (2.0); ISO/IEC 27034-1 Application Security (2011; reviewed/confirmed current in 2022); ISO/IEC 27001 (2022); CISA Secure by Design Pledge (Voluntary pledge); OpenSSF Scorecard (Rolling checks); Supply-chain Levels for Software Artifacts (1.2 (approved)); in-toto / provenance attestations (Current specification ecosystem)</x:v>
      </x:c>
      <x:c r="M277" s="16" t="str">
        <x:v>https://owaspsamm.org/model/; https://owasp.org/www-project-application-security-verification-standard/; https://csrc.nist.gov/pubs/sp/800/218/final; https://www.nist.gov/cyberframework; https://www.iso.org/standard/44378.html; https://www.iso.org/standard/27001; https://www.cisa.gov/securebydesign; https://openssf.org/scorecard/; https://slsa.dev/spec/v1.2/; https://in-toto.io/</x:v>
      </x:c>
      <x:c r="N277" s="16" t="str">
        <x:v>not_assessed</x:v>
      </x:c>
      <x:c r="O277" s="16" t="str"/>
      <x:c r="P277" s="18" t="str"/>
      <x:c r="Q277" s="16" t="str"/>
      <x:c r="R277" s="16" t="str"/>
      <x:c r="S277" s="16" t="str"/>
      <x:c r="T277" s="18" t="str"/>
      <x:c r="U277" s="16" t="str"/>
      <x:c r="V277" s="16" t="n">
        <x:v>0</x:v>
      </x:c>
    </x:row>
    <x:row r="278">
      <x:c r="A278" s="16" t="str">
        <x:v>FWPRO-SUPPLY-001</x:v>
      </x:c>
      <x:c r="B278" s="16" t="str">
        <x:v>SUPPLY</x:v>
      </x:c>
      <x:c r="C278" s="16" t="str">
        <x:v>Software supply chain, dependencies and artifacts</x:v>
      </x:c>
      <x:c r="D278" s="16" t="str">
        <x:v>Maintain a resolved dependency inventory including transitive dependencies for each release artifact.</x:v>
      </x:c>
      <x:c r="E278" s="16" t="str">
        <x:v>Run only with the documented prerequisites, approved scope and suitable specialist method; record method, version, limitations and reviewer disposition. Control objective: Maintain a resolved dependency inventory including transitive dependencies for each release artifact.</x:v>
      </x:c>
      <x:c r="F278" s="16" t="str">
        <x:v>Tool name/version, database freshness, machine-readable output and triage record.</x:v>
      </x:c>
      <x:c r="G278" s="16" t="str">
        <x:v>external_tool</x:v>
      </x:c>
      <x:c r="H278" s="16" t="str">
        <x:v>P1</x:v>
      </x:c>
      <x:c r="I278" s="16" t="str">
        <x:v>core</x:v>
      </x:c>
      <x:c r="J278" s="16" t="str">
        <x:v>direct; supporting | direct; supporting</x:v>
      </x:c>
      <x:c r="K278" s="16" t="str">
        <x:v>OWASP_TOP10; OWASP_ASVS; NIST_SSDF; CIS_CONTROLS; CYCLONEDX; SPDX; SLSA; OPENSSF_SCORECARD; CWE_TOP25; SLSA_PROVENANCE</x:v>
      </x:c>
      <x:c r="L278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78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78" s="16" t="str">
        <x:v>not_assessed</x:v>
      </x:c>
      <x:c r="O278" s="16" t="str"/>
      <x:c r="P278" s="18" t="str"/>
      <x:c r="Q278" s="16" t="str"/>
      <x:c r="R278" s="16" t="str"/>
      <x:c r="S278" s="16" t="str"/>
      <x:c r="T278" s="18" t="str"/>
      <x:c r="U278" s="16" t="str"/>
      <x:c r="V278" s="16" t="n">
        <x:v>0</x:v>
      </x:c>
    </x:row>
    <x:row r="279">
      <x:c r="A279" s="16" t="str">
        <x:v>FWPRO-SUPPLY-002</x:v>
      </x:c>
      <x:c r="B279" s="16" t="str">
        <x:v>SUPPLY</x:v>
      </x:c>
      <x:c r="C279" s="16" t="str">
        <x:v>Software supply chain, dependencies and artifacts</x:v>
      </x:c>
      <x:c r="D279" s="16" t="str">
        <x:v>Generate a valid SBOM in an agreed format such as CycloneDX or SPDX from the resolved build output.</x:v>
      </x:c>
      <x:c r="E279" s="16" t="str">
        <x:v>Run only with the documented prerequisites, approved scope and suitable specialist method; record method, version, limitations and reviewer disposition. Control objective: Generate a valid SBOM in an agreed format such as CycloneDX or SPDX from the resolved build output.</x:v>
      </x:c>
      <x:c r="F279" s="16" t="str">
        <x:v>Tool name/version, database freshness, machine-readable output and triage record.</x:v>
      </x:c>
      <x:c r="G279" s="16" t="str">
        <x:v>external_tool</x:v>
      </x:c>
      <x:c r="H279" s="16" t="str">
        <x:v>P1</x:v>
      </x:c>
      <x:c r="I279" s="16" t="str">
        <x:v>core</x:v>
      </x:c>
      <x:c r="J279" s="16" t="str">
        <x:v>direct; supporting | direct; supporting</x:v>
      </x:c>
      <x:c r="K279" s="16" t="str">
        <x:v>OWASP_TOP10; OWASP_ASVS; NIST_SSDF; CIS_CONTROLS; CYCLONEDX; SPDX; SLSA; OPENSSF_SCORECARD; CWE_TOP25; SLSA_PROVENANCE</x:v>
      </x:c>
      <x:c r="L279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79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79" s="16" t="str">
        <x:v>not_assessed</x:v>
      </x:c>
      <x:c r="O279" s="16" t="str"/>
      <x:c r="P279" s="18" t="str"/>
      <x:c r="Q279" s="16" t="str"/>
      <x:c r="R279" s="16" t="str"/>
      <x:c r="S279" s="16" t="str"/>
      <x:c r="T279" s="18" t="str"/>
      <x:c r="U279" s="16" t="str"/>
      <x:c r="V279" s="16" t="n">
        <x:v>0</x:v>
      </x:c>
    </x:row>
    <x:row r="280">
      <x:c r="A280" s="16" t="str">
        <x:v>FWPRO-SUPPLY-003</x:v>
      </x:c>
      <x:c r="B280" s="16" t="str">
        <x:v>SUPPLY</x:v>
      </x:c>
      <x:c r="C280" s="16" t="str">
        <x:v>Software supply chain, dependencies and artifacts</x:v>
      </x:c>
      <x:c r="D280" s="16" t="str">
        <x:v>Scan direct and transitive dependencies for known vulnerabilities and record database freshness.</x:v>
      </x:c>
      <x:c r="E280" s="16" t="str">
        <x:v>Run only with the documented prerequisites, approved scope and suitable specialist method; record method, version, limitations and reviewer disposition. Control objective: Scan direct and transitive dependencies for known vulnerabilities and record database freshness.</x:v>
      </x:c>
      <x:c r="F280" s="16" t="str">
        <x:v>Tool name/version, database freshness, machine-readable output and triage record.</x:v>
      </x:c>
      <x:c r="G280" s="16" t="str">
        <x:v>external_tool</x:v>
      </x:c>
      <x:c r="H280" s="16" t="str">
        <x:v>P1</x:v>
      </x:c>
      <x:c r="I280" s="16" t="str">
        <x:v>core</x:v>
      </x:c>
      <x:c r="J280" s="16" t="str">
        <x:v>direct; supporting | direct; supporting</x:v>
      </x:c>
      <x:c r="K280" s="16" t="str">
        <x:v>OWASP_TOP10; OWASP_ASVS; NIST_SSDF; CIS_CONTROLS; CYCLONEDX; SPDX; SLSA; OPENSSF_SCORECARD; CWE_TOP25; SLSA_PROVENANCE</x:v>
      </x:c>
      <x:c r="L280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0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0" s="16" t="str">
        <x:v>not_assessed</x:v>
      </x:c>
      <x:c r="O280" s="16" t="str"/>
      <x:c r="P280" s="18" t="str"/>
      <x:c r="Q280" s="16" t="str"/>
      <x:c r="R280" s="16" t="str"/>
      <x:c r="S280" s="16" t="str"/>
      <x:c r="T280" s="18" t="str"/>
      <x:c r="U280" s="16" t="str"/>
      <x:c r="V280" s="16" t="n">
        <x:v>0</x:v>
      </x:c>
    </x:row>
    <x:row r="281">
      <x:c r="A281" s="16" t="str">
        <x:v>FWPRO-SUPPLY-004</x:v>
      </x:c>
      <x:c r="B281" s="16" t="str">
        <x:v>SUPPLY</x:v>
      </x:c>
      <x:c r="C281" s="16" t="str">
        <x:v>Software supply chain, dependencies and artifacts</x:v>
      </x:c>
      <x:c r="D281" s="16" t="str">
        <x:v>Map vulnerable components to exact package versions and deployed artifacts before assigning exposure.</x:v>
      </x:c>
      <x:c r="E281" s="16" t="str">
        <x:v>Run only with the documented prerequisites, approved scope and suitable specialist method; record method, version, limitations and reviewer disposition. Control objective: Map vulnerable components to exact package versions and deployed artifacts before assigning exposure.</x:v>
      </x:c>
      <x:c r="F281" s="16" t="str">
        <x:v>Tool name/version, database freshness, machine-readable output and triage record.</x:v>
      </x:c>
      <x:c r="G281" s="16" t="str">
        <x:v>external_tool</x:v>
      </x:c>
      <x:c r="H281" s="16" t="str">
        <x:v>P1</x:v>
      </x:c>
      <x:c r="I281" s="16" t="str">
        <x:v>core</x:v>
      </x:c>
      <x:c r="J281" s="16" t="str">
        <x:v>direct; supporting | direct; supporting</x:v>
      </x:c>
      <x:c r="K281" s="16" t="str">
        <x:v>OWASP_TOP10; OWASP_ASVS; NIST_SSDF; CIS_CONTROLS; CYCLONEDX; SPDX; SLSA; OPENSSF_SCORECARD; CWE_TOP25; SLSA_PROVENANCE</x:v>
      </x:c>
      <x:c r="L281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1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1" s="16" t="str">
        <x:v>not_assessed</x:v>
      </x:c>
      <x:c r="O281" s="16" t="str"/>
      <x:c r="P281" s="18" t="str"/>
      <x:c r="Q281" s="16" t="str"/>
      <x:c r="R281" s="16" t="str"/>
      <x:c r="S281" s="16" t="str"/>
      <x:c r="T281" s="18" t="str"/>
      <x:c r="U281" s="16" t="str"/>
      <x:c r="V281" s="16" t="n">
        <x:v>0</x:v>
      </x:c>
    </x:row>
    <x:row r="282">
      <x:c r="A282" s="16" t="str">
        <x:v>FWPRO-SUPPLY-005</x:v>
      </x:c>
      <x:c r="B282" s="16" t="str">
        <x:v>SUPPLY</x:v>
      </x:c>
      <x:c r="C282" s="16" t="str">
        <x:v>Software supply chain, dependencies and artifacts</x:v>
      </x:c>
      <x:c r="D282" s="16" t="str">
        <x:v>Prioritize known-exploited CVEs using verified CISA KEV matches and contextual risk.</x:v>
      </x:c>
      <x:c r="E282" s="16" t="str">
        <x:v>Run only with the documented prerequisites, approved scope and suitable specialist method; record method, version, limitations and reviewer disposition. Control objective: Prioritize known-exploited CVEs using verified CISA KEV matches and contextual risk.</x:v>
      </x:c>
      <x:c r="F282" s="16" t="str">
        <x:v>Tool name/version, database freshness, machine-readable output and triage record.</x:v>
      </x:c>
      <x:c r="G282" s="16" t="str">
        <x:v>external_tool</x:v>
      </x:c>
      <x:c r="H282" s="16" t="str">
        <x:v>P1</x:v>
      </x:c>
      <x:c r="I282" s="16" t="str">
        <x:v>core</x:v>
      </x:c>
      <x:c r="J282" s="16" t="str">
        <x:v>direct; supporting | direct; supporting</x:v>
      </x:c>
      <x:c r="K282" s="16" t="str">
        <x:v>OWASP_TOP10; OWASP_ASVS; NIST_SSDF; CIS_CONTROLS; CYCLONEDX; SPDX; SLSA; OPENSSF_SCORECARD; CWE_TOP25; SLSA_PROVENANCE</x:v>
      </x:c>
      <x:c r="L282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2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2" s="16" t="str">
        <x:v>not_assessed</x:v>
      </x:c>
      <x:c r="O282" s="16" t="str"/>
      <x:c r="P282" s="18" t="str"/>
      <x:c r="Q282" s="16" t="str"/>
      <x:c r="R282" s="16" t="str"/>
      <x:c r="S282" s="16" t="str"/>
      <x:c r="T282" s="18" t="str"/>
      <x:c r="U282" s="16" t="str"/>
      <x:c r="V282" s="16" t="n">
        <x:v>0</x:v>
      </x:c>
    </x:row>
    <x:row r="283">
      <x:c r="A283" s="16" t="str">
        <x:v>FWPRO-SUPPLY-006</x:v>
      </x:c>
      <x:c r="B283" s="16" t="str">
        <x:v>SUPPLY</x:v>
      </x:c>
      <x:c r="C283" s="16" t="str">
        <x:v>Software supply chain, dependencies and artifacts</x:v>
      </x:c>
      <x:c r="D283" s="16" t="str">
        <x:v>Use EPSS only as an exploit-likelihood input for known CVEs and preserve source timestamp.</x:v>
      </x:c>
      <x:c r="E283" s="16" t="str">
        <x:v>Run only with the documented prerequisites, approved scope and suitable specialist method; record method, version, limitations and reviewer disposition. Control objective: Use EPSS only as an exploit-likelihood input for known CVEs and preserve source timestamp.</x:v>
      </x:c>
      <x:c r="F283" s="16" t="str">
        <x:v>Tool name/version, database freshness, machine-readable output and triage record.</x:v>
      </x:c>
      <x:c r="G283" s="16" t="str">
        <x:v>external_tool</x:v>
      </x:c>
      <x:c r="H283" s="16" t="str">
        <x:v>P1</x:v>
      </x:c>
      <x:c r="I283" s="16" t="str">
        <x:v>core</x:v>
      </x:c>
      <x:c r="J283" s="16" t="str">
        <x:v>direct; supporting | direct; supporting</x:v>
      </x:c>
      <x:c r="K283" s="16" t="str">
        <x:v>OWASP_TOP10; OWASP_ASVS; NIST_SSDF; CIS_CONTROLS; CYCLONEDX; SPDX; SLSA; OPENSSF_SCORECARD; CWE_TOP25; SLSA_PROVENANCE</x:v>
      </x:c>
      <x:c r="L283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3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3" s="16" t="str">
        <x:v>not_assessed</x:v>
      </x:c>
      <x:c r="O283" s="16" t="str"/>
      <x:c r="P283" s="18" t="str"/>
      <x:c r="Q283" s="16" t="str"/>
      <x:c r="R283" s="16" t="str"/>
      <x:c r="S283" s="16" t="str"/>
      <x:c r="T283" s="18" t="str"/>
      <x:c r="U283" s="16" t="str"/>
      <x:c r="V283" s="16" t="n">
        <x:v>0</x:v>
      </x:c>
    </x:row>
    <x:row r="284">
      <x:c r="A284" s="16" t="str">
        <x:v>FWPRO-SUPPLY-007</x:v>
      </x:c>
      <x:c r="B284" s="16" t="str">
        <x:v>SUPPLY</x:v>
      </x:c>
      <x:c r="C284" s="16" t="str">
        <x:v>Software supply chain, dependencies and artifacts</x:v>
      </x:c>
      <x:c r="D284" s="16" t="str">
        <x:v>Pin dependencies and review updates to reduce unreviewed drift and dependency confusion.</x:v>
      </x:c>
      <x:c r="E284" s="16" t="str">
        <x:v>Run only with the documented prerequisites, approved scope and suitable specialist method; record method, version, limitations and reviewer disposition. Control objective: Pin dependencies and review updates to reduce unreviewed drift and dependency confusion.</x:v>
      </x:c>
      <x:c r="F284" s="16" t="str">
        <x:v>Tool name/version, database freshness, machine-readable output and triage record.</x:v>
      </x:c>
      <x:c r="G284" s="16" t="str">
        <x:v>external_tool</x:v>
      </x:c>
      <x:c r="H284" s="16" t="str">
        <x:v>P1</x:v>
      </x:c>
      <x:c r="I284" s="16" t="str">
        <x:v>core</x:v>
      </x:c>
      <x:c r="J284" s="16" t="str">
        <x:v>direct; supporting | direct; supporting</x:v>
      </x:c>
      <x:c r="K284" s="16" t="str">
        <x:v>OWASP_TOP10; OWASP_ASVS; NIST_SSDF; CIS_CONTROLS; CYCLONEDX; SPDX; SLSA; OPENSSF_SCORECARD; CWE_TOP25; SLSA_PROVENANCE</x:v>
      </x:c>
      <x:c r="L284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4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4" s="16" t="str">
        <x:v>not_assessed</x:v>
      </x:c>
      <x:c r="O284" s="16" t="str"/>
      <x:c r="P284" s="18" t="str"/>
      <x:c r="Q284" s="16" t="str"/>
      <x:c r="R284" s="16" t="str"/>
      <x:c r="S284" s="16" t="str"/>
      <x:c r="T284" s="18" t="str"/>
      <x:c r="U284" s="16" t="str"/>
      <x:c r="V284" s="16" t="n">
        <x:v>0</x:v>
      </x:c>
    </x:row>
    <x:row r="285">
      <x:c r="A285" s="16" t="str">
        <x:v>FWPRO-SUPPLY-008</x:v>
      </x:c>
      <x:c r="B285" s="16" t="str">
        <x:v>SUPPLY</x:v>
      </x:c>
      <x:c r="C285" s="16" t="str">
        <x:v>Software supply chain, dependencies and artifacts</x:v>
      </x:c>
      <x:c r="D285" s="16" t="str">
        <x:v>Verify package provenance/signatures where ecosystems provide reliable mechanisms.</x:v>
      </x:c>
      <x:c r="E285" s="16" t="str">
        <x:v>Run only with the documented prerequisites, approved scope and suitable specialist method; record method, version, limitations and reviewer disposition. Control objective: Verify package provenance/signatures where ecosystems provide reliable mechanisms.</x:v>
      </x:c>
      <x:c r="F285" s="16" t="str">
        <x:v>Tool name/version, database freshness, machine-readable output and triage record.</x:v>
      </x:c>
      <x:c r="G285" s="16" t="str">
        <x:v>external_tool</x:v>
      </x:c>
      <x:c r="H285" s="16" t="str">
        <x:v>P1</x:v>
      </x:c>
      <x:c r="I285" s="16" t="str">
        <x:v>core</x:v>
      </x:c>
      <x:c r="J285" s="16" t="str">
        <x:v>direct; supporting | direct; supporting</x:v>
      </x:c>
      <x:c r="K285" s="16" t="str">
        <x:v>OWASP_TOP10; OWASP_ASVS; NIST_SSDF; CIS_CONTROLS; CYCLONEDX; SPDX; SLSA; OPENSSF_SCORECARD; CWE_TOP25; SLSA_PROVENANCE</x:v>
      </x:c>
      <x:c r="L285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5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5" s="16" t="str">
        <x:v>not_assessed</x:v>
      </x:c>
      <x:c r="O285" s="16" t="str"/>
      <x:c r="P285" s="18" t="str"/>
      <x:c r="Q285" s="16" t="str"/>
      <x:c r="R285" s="16" t="str"/>
      <x:c r="S285" s="16" t="str"/>
      <x:c r="T285" s="18" t="str"/>
      <x:c r="U285" s="16" t="str"/>
      <x:c r="V285" s="16" t="n">
        <x:v>0</x:v>
      </x:c>
    </x:row>
    <x:row r="286">
      <x:c r="A286" s="16" t="str">
        <x:v>FWPRO-SUPPLY-009</x:v>
      </x:c>
      <x:c r="B286" s="16" t="str">
        <x:v>SUPPLY</x:v>
      </x:c>
      <x:c r="C286" s="16" t="str">
        <x:v>Software supply chain, dependencies and artifacts</x:v>
      </x:c>
      <x:c r="D286" s="16" t="str">
        <x:v>Use private registry namespace controls and prevent dependency confusion.</x:v>
      </x:c>
      <x:c r="E286" s="16" t="str">
        <x:v>Run only with the documented prerequisites, approved scope and suitable specialist method; record method, version, limitations and reviewer disposition. Control objective: Use private registry namespace controls and prevent dependency confusion.</x:v>
      </x:c>
      <x:c r="F286" s="16" t="str">
        <x:v>Tool name/version, database freshness, machine-readable output and triage record.</x:v>
      </x:c>
      <x:c r="G286" s="16" t="str">
        <x:v>external_tool</x:v>
      </x:c>
      <x:c r="H286" s="16" t="str">
        <x:v>P1</x:v>
      </x:c>
      <x:c r="I286" s="16" t="str">
        <x:v>core</x:v>
      </x:c>
      <x:c r="J286" s="16" t="str">
        <x:v>direct; supporting | direct; supporting</x:v>
      </x:c>
      <x:c r="K286" s="16" t="str">
        <x:v>OWASP_TOP10; OWASP_ASVS; NIST_SSDF; CIS_CONTROLS; CYCLONEDX; SPDX; SLSA; OPENSSF_SCORECARD; CWE_TOP25; SLSA_PROVENANCE</x:v>
      </x:c>
      <x:c r="L286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6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6" s="16" t="str">
        <x:v>not_assessed</x:v>
      </x:c>
      <x:c r="O286" s="16" t="str"/>
      <x:c r="P286" s="18" t="str"/>
      <x:c r="Q286" s="16" t="str"/>
      <x:c r="R286" s="16" t="str"/>
      <x:c r="S286" s="16" t="str"/>
      <x:c r="T286" s="18" t="str"/>
      <x:c r="U286" s="16" t="str"/>
      <x:c r="V286" s="16" t="n">
        <x:v>0</x:v>
      </x:c>
    </x:row>
    <x:row r="287">
      <x:c r="A287" s="16" t="str">
        <x:v>FWPRO-SUPPLY-010</x:v>
      </x:c>
      <x:c r="B287" s="16" t="str">
        <x:v>SUPPLY</x:v>
      </x:c>
      <x:c r="C287" s="16" t="str">
        <x:v>Software supply chain, dependencies and artifacts</x:v>
      </x:c>
      <x:c r="D287" s="16" t="str">
        <x:v>Review package maintainership, update activity and unexpected install/build scripts for high-risk components.</x:v>
      </x:c>
      <x:c r="E287" s="16" t="str">
        <x:v>Run only with the documented prerequisites, approved scope and suitable specialist method; record method, version, limitations and reviewer disposition. Control objective: Review package maintainership, update activity and unexpected install/build scripts for high-risk components.</x:v>
      </x:c>
      <x:c r="F287" s="16" t="str">
        <x:v>Tool name/version, database freshness, machine-readable output and triage record.</x:v>
      </x:c>
      <x:c r="G287" s="16" t="str">
        <x:v>external_tool</x:v>
      </x:c>
      <x:c r="H287" s="16" t="str">
        <x:v>P1</x:v>
      </x:c>
      <x:c r="I287" s="16" t="str">
        <x:v>core</x:v>
      </x:c>
      <x:c r="J287" s="16" t="str">
        <x:v>direct; supporting | direct; supporting</x:v>
      </x:c>
      <x:c r="K287" s="16" t="str">
        <x:v>OWASP_TOP10; OWASP_ASVS; NIST_SSDF; CIS_CONTROLS; CYCLONEDX; SPDX; SLSA; OPENSSF_SCORECARD; CWE_TOP25; SLSA_PROVENANCE</x:v>
      </x:c>
      <x:c r="L287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7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7" s="16" t="str">
        <x:v>not_assessed</x:v>
      </x:c>
      <x:c r="O287" s="16" t="str"/>
      <x:c r="P287" s="18" t="str"/>
      <x:c r="Q287" s="16" t="str"/>
      <x:c r="R287" s="16" t="str"/>
      <x:c r="S287" s="16" t="str"/>
      <x:c r="T287" s="18" t="str"/>
      <x:c r="U287" s="16" t="str"/>
      <x:c r="V287" s="16" t="n">
        <x:v>0</x:v>
      </x:c>
    </x:row>
    <x:row r="288">
      <x:c r="A288" s="16" t="str">
        <x:v>FWPRO-SUPPLY-011</x:v>
      </x:c>
      <x:c r="B288" s="16" t="str">
        <x:v>SUPPLY</x:v>
      </x:c>
      <x:c r="C288" s="16" t="str">
        <x:v>Software supply chain, dependencies and artifacts</x:v>
      </x:c>
      <x:c r="D288" s="16" t="str">
        <x:v>Remove unused and abandoned dependencies from release artifacts.</x:v>
      </x:c>
      <x:c r="E288" s="16" t="str">
        <x:v>Run only with the documented prerequisites, approved scope and suitable specialist method; record method, version, limitations and reviewer disposition. Control objective: Remove unused and abandoned dependencies from release artifacts.</x:v>
      </x:c>
      <x:c r="F288" s="16" t="str">
        <x:v>Tool name/version, database freshness, machine-readable output and triage record.</x:v>
      </x:c>
      <x:c r="G288" s="16" t="str">
        <x:v>external_tool</x:v>
      </x:c>
      <x:c r="H288" s="16" t="str">
        <x:v>P1</x:v>
      </x:c>
      <x:c r="I288" s="16" t="str">
        <x:v>core</x:v>
      </x:c>
      <x:c r="J288" s="16" t="str">
        <x:v>direct; supporting | direct; supporting</x:v>
      </x:c>
      <x:c r="K288" s="16" t="str">
        <x:v>OWASP_TOP10; OWASP_ASVS; NIST_SSDF; CIS_CONTROLS; CYCLONEDX; SPDX; SLSA; OPENSSF_SCORECARD; CWE_TOP25; SLSA_PROVENANCE</x:v>
      </x:c>
      <x:c r="L288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8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8" s="16" t="str">
        <x:v>not_assessed</x:v>
      </x:c>
      <x:c r="O288" s="16" t="str"/>
      <x:c r="P288" s="18" t="str"/>
      <x:c r="Q288" s="16" t="str"/>
      <x:c r="R288" s="16" t="str"/>
      <x:c r="S288" s="16" t="str"/>
      <x:c r="T288" s="18" t="str"/>
      <x:c r="U288" s="16" t="str"/>
      <x:c r="V288" s="16" t="n">
        <x:v>0</x:v>
      </x:c>
    </x:row>
    <x:row r="289">
      <x:c r="A289" s="16" t="str">
        <x:v>FWPRO-SUPPLY-012</x:v>
      </x:c>
      <x:c r="B289" s="16" t="str">
        <x:v>SUPPLY</x:v>
      </x:c>
      <x:c r="C289" s="16" t="str">
        <x:v>Software supply chain, dependencies and artifacts</x:v>
      </x:c>
      <x:c r="D289" s="16" t="str">
        <x:v>Produce provenance linking source revision, workflow, builder, dependencies and output artifact.</x:v>
      </x:c>
      <x:c r="E289" s="16" t="str">
        <x:v>Run only with the documented prerequisites, approved scope and suitable specialist method; record method, version, limitations and reviewer disposition. Control objective: Produce provenance linking source revision, workflow, builder, dependencies and output artifact.</x:v>
      </x:c>
      <x:c r="F289" s="16" t="str">
        <x:v>Tool name/version, database freshness, machine-readable output and triage record.</x:v>
      </x:c>
      <x:c r="G289" s="16" t="str">
        <x:v>external_tool</x:v>
      </x:c>
      <x:c r="H289" s="16" t="str">
        <x:v>P1</x:v>
      </x:c>
      <x:c r="I289" s="16" t="str">
        <x:v>core</x:v>
      </x:c>
      <x:c r="J289" s="16" t="str">
        <x:v>direct; supporting | direct; supporting</x:v>
      </x:c>
      <x:c r="K289" s="16" t="str">
        <x:v>OWASP_TOP10; OWASP_ASVS; NIST_SSDF; CIS_CONTROLS; CYCLONEDX; SPDX; SLSA; OPENSSF_SCORECARD; CWE_TOP25; SLSA_PROVENANCE</x:v>
      </x:c>
      <x:c r="L289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89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89" s="16" t="str">
        <x:v>not_assessed</x:v>
      </x:c>
      <x:c r="O289" s="16" t="str"/>
      <x:c r="P289" s="18" t="str"/>
      <x:c r="Q289" s="16" t="str"/>
      <x:c r="R289" s="16" t="str"/>
      <x:c r="S289" s="16" t="str"/>
      <x:c r="T289" s="18" t="str"/>
      <x:c r="U289" s="16" t="str"/>
      <x:c r="V289" s="16" t="n">
        <x:v>0</x:v>
      </x:c>
    </x:row>
    <x:row r="290">
      <x:c r="A290" s="16" t="str">
        <x:v>FWPRO-SUPPLY-013</x:v>
      </x:c>
      <x:c r="B290" s="16" t="str">
        <x:v>SUPPLY</x:v>
      </x:c>
      <x:c r="C290" s="16" t="str">
        <x:v>Software supply chain, dependencies and artifacts</x:v>
      </x:c>
      <x:c r="D290" s="16" t="str">
        <x:v>Protect release signing keys and separate signing permissions from ordinary CI jobs.</x:v>
      </x:c>
      <x:c r="E290" s="16" t="str">
        <x:v>Run only with the documented prerequisites, approved scope and suitable specialist method; record method, version, limitations and reviewer disposition. Control objective: Protect release signing keys and separate signing permissions from ordinary CI jobs.</x:v>
      </x:c>
      <x:c r="F290" s="16" t="str">
        <x:v>Tool name/version, database freshness, machine-readable output and triage record.</x:v>
      </x:c>
      <x:c r="G290" s="16" t="str">
        <x:v>external_tool</x:v>
      </x:c>
      <x:c r="H290" s="16" t="str">
        <x:v>P1</x:v>
      </x:c>
      <x:c r="I290" s="16" t="str">
        <x:v>core</x:v>
      </x:c>
      <x:c r="J290" s="16" t="str">
        <x:v>direct; supporting | direct; supporting</x:v>
      </x:c>
      <x:c r="K290" s="16" t="str">
        <x:v>OWASP_TOP10; OWASP_ASVS; NIST_SSDF; CIS_CONTROLS; CYCLONEDX; SPDX; SLSA; OPENSSF_SCORECARD; CWE_TOP25; SLSA_PROVENANCE</x:v>
      </x:c>
      <x:c r="L290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90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90" s="16" t="str">
        <x:v>not_assessed</x:v>
      </x:c>
      <x:c r="O290" s="16" t="str"/>
      <x:c r="P290" s="18" t="str"/>
      <x:c r="Q290" s="16" t="str"/>
      <x:c r="R290" s="16" t="str"/>
      <x:c r="S290" s="16" t="str"/>
      <x:c r="T290" s="18" t="str"/>
      <x:c r="U290" s="16" t="str"/>
      <x:c r="V290" s="16" t="n">
        <x:v>0</x:v>
      </x:c>
    </x:row>
    <x:row r="291">
      <x:c r="A291" s="16" t="str">
        <x:v>FWPRO-SUPPLY-014</x:v>
      </x:c>
      <x:c r="B291" s="16" t="str">
        <x:v>SUPPLY</x:v>
      </x:c>
      <x:c r="C291" s="16" t="str">
        <x:v>Software supply chain, dependencies and artifacts</x:v>
      </x:c>
      <x:c r="D291" s="16" t="str">
        <x:v>Prevent secrets, test fixtures and local databases from entering source packages and release archives.</x:v>
      </x:c>
      <x:c r="E291" s="16" t="str">
        <x:v>Run only with the documented prerequisites, approved scope and suitable specialist method; record method, version, limitations and reviewer disposition. Control objective: Prevent secrets, test fixtures and local databases from entering source packages and release archives.</x:v>
      </x:c>
      <x:c r="F291" s="16" t="str">
        <x:v>Tool name/version, database freshness, machine-readable output and triage record.</x:v>
      </x:c>
      <x:c r="G291" s="16" t="str">
        <x:v>external_tool</x:v>
      </x:c>
      <x:c r="H291" s="16" t="str">
        <x:v>P1</x:v>
      </x:c>
      <x:c r="I291" s="16" t="str">
        <x:v>core</x:v>
      </x:c>
      <x:c r="J291" s="16" t="str">
        <x:v>direct; supporting | direct; supporting</x:v>
      </x:c>
      <x:c r="K291" s="16" t="str">
        <x:v>OWASP_TOP10; OWASP_ASVS; NIST_SSDF; CIS_CONTROLS; CYCLONEDX; SPDX; SLSA; OPENSSF_SCORECARD; CWE_TOP25; SLSA_PROVENANCE</x:v>
      </x:c>
      <x:c r="L291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91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91" s="16" t="str">
        <x:v>not_assessed</x:v>
      </x:c>
      <x:c r="O291" s="16" t="str"/>
      <x:c r="P291" s="18" t="str"/>
      <x:c r="Q291" s="16" t="str"/>
      <x:c r="R291" s="16" t="str"/>
      <x:c r="S291" s="16" t="str"/>
      <x:c r="T291" s="18" t="str"/>
      <x:c r="U291" s="16" t="str"/>
      <x:c r="V291" s="16" t="n">
        <x:v>0</x:v>
      </x:c>
    </x:row>
    <x:row r="292">
      <x:c r="A292" s="16" t="str">
        <x:v>FWPRO-SUPPLY-015</x:v>
      </x:c>
      <x:c r="B292" s="16" t="str">
        <x:v>SUPPLY</x:v>
      </x:c>
      <x:c r="C292" s="16" t="str">
        <x:v>Software supply chain, dependencies and artifacts</x:v>
      </x:c>
      <x:c r="D292" s="16" t="str">
        <x:v>Scan container images and generated artifacts, not only source manifests.</x:v>
      </x:c>
      <x:c r="E292" s="16" t="str">
        <x:v>Run only with the documented prerequisites, approved scope and suitable specialist method; record method, version, limitations and reviewer disposition. Control objective: Scan container images and generated artifacts, not only source manifests.</x:v>
      </x:c>
      <x:c r="F292" s="16" t="str">
        <x:v>Tool name/version, database freshness, machine-readable output and triage record.</x:v>
      </x:c>
      <x:c r="G292" s="16" t="str">
        <x:v>external_tool</x:v>
      </x:c>
      <x:c r="H292" s="16" t="str">
        <x:v>P1</x:v>
      </x:c>
      <x:c r="I292" s="16" t="str">
        <x:v>core</x:v>
      </x:c>
      <x:c r="J292" s="16" t="str">
        <x:v>direct; supporting | direct; supporting</x:v>
      </x:c>
      <x:c r="K292" s="16" t="str">
        <x:v>OWASP_TOP10; OWASP_ASVS; NIST_SSDF; CIS_CONTROLS; CYCLONEDX; SPDX; SLSA; OPENSSF_SCORECARD; CWE_TOP25; SLSA_PROVENANCE</x:v>
      </x:c>
      <x:c r="L292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92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92" s="16" t="str">
        <x:v>not_assessed</x:v>
      </x:c>
      <x:c r="O292" s="16" t="str"/>
      <x:c r="P292" s="18" t="str"/>
      <x:c r="Q292" s="16" t="str"/>
      <x:c r="R292" s="16" t="str"/>
      <x:c r="S292" s="16" t="str"/>
      <x:c r="T292" s="18" t="str"/>
      <x:c r="U292" s="16" t="str"/>
      <x:c r="V292" s="16" t="n">
        <x:v>0</x:v>
      </x:c>
    </x:row>
    <x:row r="293">
      <x:c r="A293" s="16" t="str">
        <x:v>FWPRO-SUPPLY-016</x:v>
      </x:c>
      <x:c r="B293" s="16" t="str">
        <x:v>SUPPLY</x:v>
      </x:c>
      <x:c r="C293" s="16" t="str">
        <x:v>Software supply chain, dependencies and artifacts</x:v>
      </x:c>
      <x:c r="D293" s="16" t="str">
        <x:v>Track license obligations and component attribution in accordance with organizational policy.</x:v>
      </x:c>
      <x:c r="E293" s="16" t="str">
        <x:v>Run only with the documented prerequisites, approved scope and suitable specialist method; record method, version, limitations and reviewer disposition. Control objective: Track license obligations and component attribution in accordance with organizational policy.</x:v>
      </x:c>
      <x:c r="F293" s="16" t="str">
        <x:v>Tool name/version, database freshness, machine-readable output and triage record.</x:v>
      </x:c>
      <x:c r="G293" s="16" t="str">
        <x:v>external_tool</x:v>
      </x:c>
      <x:c r="H293" s="16" t="str">
        <x:v>P1</x:v>
      </x:c>
      <x:c r="I293" s="16" t="str">
        <x:v>core</x:v>
      </x:c>
      <x:c r="J293" s="16" t="str">
        <x:v>direct; supporting | direct; supporting</x:v>
      </x:c>
      <x:c r="K293" s="16" t="str">
        <x:v>OWASP_TOP10; OWASP_ASVS; NIST_SSDF; CIS_CONTROLS; CYCLONEDX; SPDX; SLSA; OPENSSF_SCORECARD; CWE_TOP25; SLSA_PROVENANCE</x:v>
      </x:c>
      <x:c r="L293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93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93" s="16" t="str">
        <x:v>not_assessed</x:v>
      </x:c>
      <x:c r="O293" s="16" t="str"/>
      <x:c r="P293" s="18" t="str"/>
      <x:c r="Q293" s="16" t="str"/>
      <x:c r="R293" s="16" t="str"/>
      <x:c r="S293" s="16" t="str"/>
      <x:c r="T293" s="18" t="str"/>
      <x:c r="U293" s="16" t="str"/>
      <x:c r="V293" s="16" t="n">
        <x:v>0</x:v>
      </x:c>
    </x:row>
    <x:row r="294">
      <x:c r="A294" s="16" t="str">
        <x:v>FWPRO-SUPPLY-017</x:v>
      </x:c>
      <x:c r="B294" s="16" t="str">
        <x:v>SUPPLY</x:v>
      </x:c>
      <x:c r="C294" s="16" t="str">
        <x:v>Software supply chain, dependencies and artifacts</x:v>
      </x:c>
      <x:c r="D294" s="16" t="str">
        <x:v>Define a vulnerability response policy for dependency advisories and upstream maintainer disclosures.</x:v>
      </x:c>
      <x:c r="E294" s="16" t="str">
        <x:v>Run only with the documented prerequisites, approved scope and suitable specialist method; record method, version, limitations and reviewer disposition. Control objective: Define a vulnerability response policy for dependency advisories and upstream maintainer disclosures.</x:v>
      </x:c>
      <x:c r="F294" s="16" t="str">
        <x:v>Tool name/version, database freshness, machine-readable output and triage record.</x:v>
      </x:c>
      <x:c r="G294" s="16" t="str">
        <x:v>external_tool</x:v>
      </x:c>
      <x:c r="H294" s="16" t="str">
        <x:v>P1</x:v>
      </x:c>
      <x:c r="I294" s="16" t="str">
        <x:v>core</x:v>
      </x:c>
      <x:c r="J294" s="16" t="str">
        <x:v>direct; supporting | direct; supporting</x:v>
      </x:c>
      <x:c r="K294" s="16" t="str">
        <x:v>OWASP_TOP10; OWASP_ASVS; NIST_SSDF; CIS_CONTROLS; CYCLONEDX; SPDX; SLSA; OPENSSF_SCORECARD; CWE_TOP25; SLSA_PROVENANCE</x:v>
      </x:c>
      <x:c r="L294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94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94" s="16" t="str">
        <x:v>not_assessed</x:v>
      </x:c>
      <x:c r="O294" s="16" t="str"/>
      <x:c r="P294" s="18" t="str"/>
      <x:c r="Q294" s="16" t="str"/>
      <x:c r="R294" s="16" t="str"/>
      <x:c r="S294" s="16" t="str"/>
      <x:c r="T294" s="18" t="str"/>
      <x:c r="U294" s="16" t="str"/>
      <x:c r="V294" s="16" t="n">
        <x:v>0</x:v>
      </x:c>
    </x:row>
    <x:row r="295">
      <x:c r="A295" s="16" t="str">
        <x:v>FWPRO-SUPPLY-018</x:v>
      </x:c>
      <x:c r="B295" s="16" t="str">
        <x:v>SUPPLY</x:v>
      </x:c>
      <x:c r="C295" s="16" t="str">
        <x:v>Software supply chain, dependencies and artifacts</x:v>
      </x:c>
      <x:c r="D295" s="16" t="str">
        <x:v>Record dependency scanner/tool version, database timestamp and triage decision for each release.</x:v>
      </x:c>
      <x:c r="E295" s="16" t="str">
        <x:v>Run only with the documented prerequisites, approved scope and suitable specialist method; record method, version, limitations and reviewer disposition. Control objective: Record dependency scanner/tool version, database timestamp and triage decision for each release.</x:v>
      </x:c>
      <x:c r="F295" s="16" t="str">
        <x:v>Tool name/version, database freshness, machine-readable output and triage record.</x:v>
      </x:c>
      <x:c r="G295" s="16" t="str">
        <x:v>external_tool</x:v>
      </x:c>
      <x:c r="H295" s="16" t="str">
        <x:v>P1</x:v>
      </x:c>
      <x:c r="I295" s="16" t="str">
        <x:v>core</x:v>
      </x:c>
      <x:c r="J295" s="16" t="str">
        <x:v>direct; supporting | direct; supporting</x:v>
      </x:c>
      <x:c r="K295" s="16" t="str">
        <x:v>OWASP_TOP10; OWASP_ASVS; NIST_SSDF; CIS_CONTROLS; CYCLONEDX; SPDX; SLSA; OPENSSF_SCORECARD; CWE_TOP25; SLSA_PROVENANCE</x:v>
      </x:c>
      <x:c r="L295" s="16" t="str">
        <x:v>OWASP Top 10 (2025 (released)); OWASP Application Security Verification Standard (5.0.0 (stable)); NIST SP 800-218 Secure Software Development Framework (1.1); CIS Critical Security Controls (v8.1); CycloneDX SBOM / supply-chain specification (1.7 (ECMA-424)); SPDX Software Package Data Exchange (3.x specification family; pin schema in production); Supply-chain Levels for Software Artifacts (1.2 (approved)); OpenSSF Scorecard (Rolling checks); MITRE CWE Top 25 (2025); in-toto / provenance attestations (Current specification ecosystem)</x:v>
      </x:c>
      <x:c r="M295" s="16" t="str">
        <x:v>https://owasp.org/projects/top-ten; https://owasp.org/www-project-application-security-verification-standard/; https://csrc.nist.gov/pubs/sp/800/218/final; https://www.cisecurity.org/controls/v8-1; https://cyclonedx.org/specification/overview/; https://spdx.dev/specifications/; https://slsa.dev/spec/v1.2/; https://openssf.org/scorecard/; https://cwe.mitre.org/top25/archive/2025/2025_cwe_top25; https://in-toto.io/</x:v>
      </x:c>
      <x:c r="N295" s="16" t="str">
        <x:v>not_assessed</x:v>
      </x:c>
      <x:c r="O295" s="16" t="str"/>
      <x:c r="P295" s="18" t="str"/>
      <x:c r="Q295" s="16" t="str"/>
      <x:c r="R295" s="16" t="str"/>
      <x:c r="S295" s="16" t="str"/>
      <x:c r="T295" s="18" t="str"/>
      <x:c r="U295" s="16" t="str"/>
      <x:c r="V295" s="16" t="n">
        <x:v>0</x:v>
      </x:c>
    </x:row>
    <x:row r="296">
      <x:c r="A296" s="16" t="str">
        <x:v>FWPRO-CLOUD-001</x:v>
      </x:c>
      <x:c r="B296" s="16" t="str">
        <x:v>CLOUD</x:v>
      </x:c>
      <x:c r="C296" s="16" t="str">
        <x:v>Cloud, container, Kubernetes and infrastructure as code</x:v>
      </x:c>
      <x:c r="D296" s="16" t="str">
        <x:v>Define shared-responsibility boundaries for each cloud service, managed platform and third-party provider.</x:v>
      </x:c>
      <x:c r="E296" s="16" t="str">
        <x:v>Run only with the documented prerequisites, approved scope and suitable specialist method; record method, version, limitations and reviewer disposition. Control objective: Define shared-responsibility boundaries for each cloud service, managed platform and third-party provider.</x:v>
      </x:c>
      <x:c r="F296" s="16" t="str">
        <x:v>Reproducible test case, approved test account/environment, tool/version and reviewer validation.</x:v>
      </x:c>
      <x:c r="G296" s="16" t="str">
        <x:v>manual_or_specialist_tool</x:v>
      </x:c>
      <x:c r="H296" s="16" t="str">
        <x:v>P1</x:v>
      </x:c>
      <x:c r="I296" s="16" t="str">
        <x:v>conditional</x:v>
      </x:c>
      <x:c r="J296" s="16" t="str">
        <x:v>adjacent; conditional; supporting | adjacent; conditional; supporting</x:v>
      </x:c>
      <x:c r="K296" s="16" t="str">
        <x:v>OWASP_CLOUD_NATIVE; NIST_800_53; NIST_CSF; ISO27017; CIS_CONTROLS; CIS_BENCHMARKS; SLSA</x:v>
      </x:c>
      <x:c r="L296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296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296" s="16" t="str">
        <x:v>not_assessed</x:v>
      </x:c>
      <x:c r="O296" s="16" t="str"/>
      <x:c r="P296" s="18" t="str"/>
      <x:c r="Q296" s="16" t="str"/>
      <x:c r="R296" s="16" t="str"/>
      <x:c r="S296" s="16" t="str"/>
      <x:c r="T296" s="18" t="str"/>
      <x:c r="U296" s="16" t="str"/>
      <x:c r="V296" s="16" t="n">
        <x:v>0</x:v>
      </x:c>
    </x:row>
    <x:row r="297">
      <x:c r="A297" s="16" t="str">
        <x:v>FWPRO-CLOUD-002</x:v>
      </x:c>
      <x:c r="B297" s="16" t="str">
        <x:v>CLOUD</x:v>
      </x:c>
      <x:c r="C297" s="16" t="str">
        <x:v>Cloud, container, Kubernetes and infrastructure as code</x:v>
      </x:c>
      <x:c r="D297" s="16" t="str">
        <x:v>Restrict cloud IAM roles, service accounts and workload identities to required actions/resources.</x:v>
      </x:c>
      <x:c r="E297" s="16" t="str">
        <x:v>Run only with the documented prerequisites, approved scope and suitable specialist method; record method, version, limitations and reviewer disposition. Control objective: Restrict cloud IAM roles, service accounts and workload identities to required actions/resources.</x:v>
      </x:c>
      <x:c r="F297" s="16" t="str">
        <x:v>Reproducible test case, approved test account/environment, tool/version and reviewer validation.</x:v>
      </x:c>
      <x:c r="G297" s="16" t="str">
        <x:v>manual_or_specialist_tool</x:v>
      </x:c>
      <x:c r="H297" s="16" t="str">
        <x:v>P1</x:v>
      </x:c>
      <x:c r="I297" s="16" t="str">
        <x:v>conditional</x:v>
      </x:c>
      <x:c r="J297" s="16" t="str">
        <x:v>adjacent; conditional; supporting | adjacent; conditional; supporting</x:v>
      </x:c>
      <x:c r="K297" s="16" t="str">
        <x:v>OWASP_CLOUD_NATIVE; NIST_800_53; NIST_CSF; ISO27017; CIS_CONTROLS; CIS_BENCHMARKS; SLSA</x:v>
      </x:c>
      <x:c r="L297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297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297" s="16" t="str">
        <x:v>not_assessed</x:v>
      </x:c>
      <x:c r="O297" s="16" t="str"/>
      <x:c r="P297" s="18" t="str"/>
      <x:c r="Q297" s="16" t="str"/>
      <x:c r="R297" s="16" t="str"/>
      <x:c r="S297" s="16" t="str"/>
      <x:c r="T297" s="18" t="str"/>
      <x:c r="U297" s="16" t="str"/>
      <x:c r="V297" s="16" t="n">
        <x:v>0</x:v>
      </x:c>
    </x:row>
    <x:row r="298">
      <x:c r="A298" s="16" t="str">
        <x:v>FWPRO-CLOUD-003</x:v>
      </x:c>
      <x:c r="B298" s="16" t="str">
        <x:v>CLOUD</x:v>
      </x:c>
      <x:c r="C298" s="16" t="str">
        <x:v>Cloud, container, Kubernetes and infrastructure as code</x:v>
      </x:c>
      <x:c r="D298" s="16" t="str">
        <x:v>Prevent public access to storage, databases, snapshots and administrative services unless explicitly justified.</x:v>
      </x:c>
      <x:c r="E298" s="16" t="str">
        <x:v>Run only with the documented prerequisites, approved scope and suitable specialist method; record method, version, limitations and reviewer disposition. Control objective: Prevent public access to storage, databases, snapshots and administrative services unless explicitly justified.</x:v>
      </x:c>
      <x:c r="F298" s="16" t="str">
        <x:v>Reproducible test case, approved test account/environment, tool/version and reviewer validation.</x:v>
      </x:c>
      <x:c r="G298" s="16" t="str">
        <x:v>manual_or_specialist_tool</x:v>
      </x:c>
      <x:c r="H298" s="16" t="str">
        <x:v>P1</x:v>
      </x:c>
      <x:c r="I298" s="16" t="str">
        <x:v>conditional</x:v>
      </x:c>
      <x:c r="J298" s="16" t="str">
        <x:v>adjacent; conditional; supporting | adjacent; conditional; supporting</x:v>
      </x:c>
      <x:c r="K298" s="16" t="str">
        <x:v>OWASP_CLOUD_NATIVE; NIST_800_53; NIST_CSF; ISO27017; CIS_CONTROLS; CIS_BENCHMARKS; SLSA</x:v>
      </x:c>
      <x:c r="L298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298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298" s="16" t="str">
        <x:v>not_assessed</x:v>
      </x:c>
      <x:c r="O298" s="16" t="str"/>
      <x:c r="P298" s="18" t="str"/>
      <x:c r="Q298" s="16" t="str"/>
      <x:c r="R298" s="16" t="str"/>
      <x:c r="S298" s="16" t="str"/>
      <x:c r="T298" s="18" t="str"/>
      <x:c r="U298" s="16" t="str"/>
      <x:c r="V298" s="16" t="n">
        <x:v>0</x:v>
      </x:c>
    </x:row>
    <x:row r="299">
      <x:c r="A299" s="16" t="str">
        <x:v>FWPRO-CLOUD-004</x:v>
      </x:c>
      <x:c r="B299" s="16" t="str">
        <x:v>CLOUD</x:v>
      </x:c>
      <x:c r="C299" s="16" t="str">
        <x:v>Cloud, container, Kubernetes and infrastructure as code</x:v>
      </x:c>
      <x:c r="D299" s="16" t="str">
        <x:v>Store secrets in a managed secret service and avoid baking them into images or IaC state.</x:v>
      </x:c>
      <x:c r="E299" s="16" t="str">
        <x:v>Run only with the documented prerequisites, approved scope and suitable specialist method; record method, version, limitations and reviewer disposition. Control objective: Store secrets in a managed secret service and avoid baking them into images or IaC state.</x:v>
      </x:c>
      <x:c r="F299" s="16" t="str">
        <x:v>Reproducible test case, approved test account/environment, tool/version and reviewer validation.</x:v>
      </x:c>
      <x:c r="G299" s="16" t="str">
        <x:v>manual_or_specialist_tool</x:v>
      </x:c>
      <x:c r="H299" s="16" t="str">
        <x:v>P1</x:v>
      </x:c>
      <x:c r="I299" s="16" t="str">
        <x:v>conditional</x:v>
      </x:c>
      <x:c r="J299" s="16" t="str">
        <x:v>adjacent; conditional; supporting | adjacent; conditional; supporting</x:v>
      </x:c>
      <x:c r="K299" s="16" t="str">
        <x:v>OWASP_CLOUD_NATIVE; NIST_800_53; NIST_CSF; ISO27017; CIS_CONTROLS; CIS_BENCHMARKS; SLSA</x:v>
      </x:c>
      <x:c r="L299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299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299" s="16" t="str">
        <x:v>not_assessed</x:v>
      </x:c>
      <x:c r="O299" s="16" t="str"/>
      <x:c r="P299" s="18" t="str"/>
      <x:c r="Q299" s="16" t="str"/>
      <x:c r="R299" s="16" t="str"/>
      <x:c r="S299" s="16" t="str"/>
      <x:c r="T299" s="18" t="str"/>
      <x:c r="U299" s="16" t="str"/>
      <x:c r="V299" s="16" t="n">
        <x:v>0</x:v>
      </x:c>
    </x:row>
    <x:row r="300">
      <x:c r="A300" s="16" t="str">
        <x:v>FWPRO-CLOUD-005</x:v>
      </x:c>
      <x:c r="B300" s="16" t="str">
        <x:v>CLOUD</x:v>
      </x:c>
      <x:c r="C300" s="16" t="str">
        <x:v>Cloud, container, Kubernetes and infrastructure as code</x:v>
      </x:c>
      <x:c r="D300" s="16" t="str">
        <x:v>Scan IaC for public exposure, overly broad IAM, weak encryption and unsafe network rules.</x:v>
      </x:c>
      <x:c r="E300" s="16" t="str">
        <x:v>Run only with the documented prerequisites, approved scope and suitable specialist method; record method, version, limitations and reviewer disposition. Control objective: Scan IaC for public exposure, overly broad IAM, weak encryption and unsafe network rules.</x:v>
      </x:c>
      <x:c r="F300" s="16" t="str">
        <x:v>Reproducible test case, approved test account/environment, tool/version and reviewer validation.</x:v>
      </x:c>
      <x:c r="G300" s="16" t="str">
        <x:v>manual_or_specialist_tool</x:v>
      </x:c>
      <x:c r="H300" s="16" t="str">
        <x:v>P1</x:v>
      </x:c>
      <x:c r="I300" s="16" t="str">
        <x:v>conditional</x:v>
      </x:c>
      <x:c r="J300" s="16" t="str">
        <x:v>adjacent; conditional; supporting | adjacent; conditional; supporting</x:v>
      </x:c>
      <x:c r="K300" s="16" t="str">
        <x:v>OWASP_CLOUD_NATIVE; NIST_800_53; NIST_CSF; ISO27017; CIS_CONTROLS; CIS_BENCHMARKS; SLSA</x:v>
      </x:c>
      <x:c r="L300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0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0" s="16" t="str">
        <x:v>not_assessed</x:v>
      </x:c>
      <x:c r="O300" s="16" t="str"/>
      <x:c r="P300" s="18" t="str"/>
      <x:c r="Q300" s="16" t="str"/>
      <x:c r="R300" s="16" t="str"/>
      <x:c r="S300" s="16" t="str"/>
      <x:c r="T300" s="18" t="str"/>
      <x:c r="U300" s="16" t="str"/>
      <x:c r="V300" s="16" t="n">
        <x:v>0</x:v>
      </x:c>
    </x:row>
    <x:row r="301">
      <x:c r="A301" s="16" t="str">
        <x:v>FWPRO-CLOUD-006</x:v>
      </x:c>
      <x:c r="B301" s="16" t="str">
        <x:v>CLOUD</x:v>
      </x:c>
      <x:c r="C301" s="16" t="str">
        <x:v>Cloud, container, Kubernetes and infrastructure as code</x:v>
      </x:c>
      <x:c r="D301" s="16" t="str">
        <x:v>Build containers from maintained minimal base images and rebuild when critical updates apply.</x:v>
      </x:c>
      <x:c r="E301" s="16" t="str">
        <x:v>Run only with the documented prerequisites, approved scope and suitable specialist method; record method, version, limitations and reviewer disposition. Control objective: Build containers from maintained minimal base images and rebuild when critical updates apply.</x:v>
      </x:c>
      <x:c r="F301" s="16" t="str">
        <x:v>Reproducible test case, approved test account/environment, tool/version and reviewer validation.</x:v>
      </x:c>
      <x:c r="G301" s="16" t="str">
        <x:v>manual_or_specialist_tool</x:v>
      </x:c>
      <x:c r="H301" s="16" t="str">
        <x:v>P1</x:v>
      </x:c>
      <x:c r="I301" s="16" t="str">
        <x:v>conditional</x:v>
      </x:c>
      <x:c r="J301" s="16" t="str">
        <x:v>adjacent; conditional; supporting | adjacent; conditional; supporting</x:v>
      </x:c>
      <x:c r="K301" s="16" t="str">
        <x:v>OWASP_CLOUD_NATIVE; NIST_800_53; NIST_CSF; ISO27017; CIS_CONTROLS; CIS_BENCHMARKS; SLSA</x:v>
      </x:c>
      <x:c r="L301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1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1" s="16" t="str">
        <x:v>not_assessed</x:v>
      </x:c>
      <x:c r="O301" s="16" t="str"/>
      <x:c r="P301" s="18" t="str"/>
      <x:c r="Q301" s="16" t="str"/>
      <x:c r="R301" s="16" t="str"/>
      <x:c r="S301" s="16" t="str"/>
      <x:c r="T301" s="18" t="str"/>
      <x:c r="U301" s="16" t="str"/>
      <x:c r="V301" s="16" t="n">
        <x:v>0</x:v>
      </x:c>
    </x:row>
    <x:row r="302">
      <x:c r="A302" s="16" t="str">
        <x:v>FWPRO-CLOUD-007</x:v>
      </x:c>
      <x:c r="B302" s="16" t="str">
        <x:v>CLOUD</x:v>
      </x:c>
      <x:c r="C302" s="16" t="str">
        <x:v>Cloud, container, Kubernetes and infrastructure as code</x:v>
      </x:c>
      <x:c r="D302" s="16" t="str">
        <x:v>Run containers as non-root where feasible and remove unnecessary capabilities.</x:v>
      </x:c>
      <x:c r="E302" s="16" t="str">
        <x:v>Run only with the documented prerequisites, approved scope and suitable specialist method; record method, version, limitations and reviewer disposition. Control objective: Run containers as non-root where feasible and remove unnecessary capabilities.</x:v>
      </x:c>
      <x:c r="F302" s="16" t="str">
        <x:v>Reproducible test case, approved test account/environment, tool/version and reviewer validation.</x:v>
      </x:c>
      <x:c r="G302" s="16" t="str">
        <x:v>manual_or_specialist_tool</x:v>
      </x:c>
      <x:c r="H302" s="16" t="str">
        <x:v>P1</x:v>
      </x:c>
      <x:c r="I302" s="16" t="str">
        <x:v>conditional</x:v>
      </x:c>
      <x:c r="J302" s="16" t="str">
        <x:v>adjacent; conditional; supporting | adjacent; conditional; supporting</x:v>
      </x:c>
      <x:c r="K302" s="16" t="str">
        <x:v>OWASP_CLOUD_NATIVE; NIST_800_53; NIST_CSF; ISO27017; CIS_CONTROLS; CIS_BENCHMARKS; SLSA</x:v>
      </x:c>
      <x:c r="L302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2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2" s="16" t="str">
        <x:v>not_assessed</x:v>
      </x:c>
      <x:c r="O302" s="16" t="str"/>
      <x:c r="P302" s="18" t="str"/>
      <x:c r="Q302" s="16" t="str"/>
      <x:c r="R302" s="16" t="str"/>
      <x:c r="S302" s="16" t="str"/>
      <x:c r="T302" s="18" t="str"/>
      <x:c r="U302" s="16" t="str"/>
      <x:c r="V302" s="16" t="n">
        <x:v>0</x:v>
      </x:c>
    </x:row>
    <x:row r="303">
      <x:c r="A303" s="16" t="str">
        <x:v>FWPRO-CLOUD-008</x:v>
      </x:c>
      <x:c r="B303" s="16" t="str">
        <x:v>CLOUD</x:v>
      </x:c>
      <x:c r="C303" s="16" t="str">
        <x:v>Cloud, container, Kubernetes and infrastructure as code</x:v>
      </x:c>
      <x:c r="D303" s="16" t="str">
        <x:v>Use read-only filesystems, resource limits and seccomp/AppArmor or platform-equivalent controls where appropriate.</x:v>
      </x:c>
      <x:c r="E303" s="16" t="str">
        <x:v>Run only with the documented prerequisites, approved scope and suitable specialist method; record method, version, limitations and reviewer disposition. Control objective: Use read-only filesystems, resource limits and seccomp/AppArmor or platform-equivalent controls where appropriate.</x:v>
      </x:c>
      <x:c r="F303" s="16" t="str">
        <x:v>Reproducible test case, approved test account/environment, tool/version and reviewer validation.</x:v>
      </x:c>
      <x:c r="G303" s="16" t="str">
        <x:v>manual_or_specialist_tool</x:v>
      </x:c>
      <x:c r="H303" s="16" t="str">
        <x:v>P1</x:v>
      </x:c>
      <x:c r="I303" s="16" t="str">
        <x:v>conditional</x:v>
      </x:c>
      <x:c r="J303" s="16" t="str">
        <x:v>adjacent; conditional; supporting | adjacent; conditional; supporting</x:v>
      </x:c>
      <x:c r="K303" s="16" t="str">
        <x:v>OWASP_CLOUD_NATIVE; NIST_800_53; NIST_CSF; ISO27017; CIS_CONTROLS; CIS_BENCHMARKS; SLSA</x:v>
      </x:c>
      <x:c r="L303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3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3" s="16" t="str">
        <x:v>not_assessed</x:v>
      </x:c>
      <x:c r="O303" s="16" t="str"/>
      <x:c r="P303" s="18" t="str"/>
      <x:c r="Q303" s="16" t="str"/>
      <x:c r="R303" s="16" t="str"/>
      <x:c r="S303" s="16" t="str"/>
      <x:c r="T303" s="18" t="str"/>
      <x:c r="U303" s="16" t="str"/>
      <x:c r="V303" s="16" t="n">
        <x:v>0</x:v>
      </x:c>
    </x:row>
    <x:row r="304">
      <x:c r="A304" s="16" t="str">
        <x:v>FWPRO-CLOUD-009</x:v>
      </x:c>
      <x:c r="B304" s="16" t="str">
        <x:v>CLOUD</x:v>
      </x:c>
      <x:c r="C304" s="16" t="str">
        <x:v>Cloud, container, Kubernetes and infrastructure as code</x:v>
      </x:c>
      <x:c r="D304" s="16" t="str">
        <x:v>Pin container images by immutable digest for production deployments where feasible.</x:v>
      </x:c>
      <x:c r="E304" s="16" t="str">
        <x:v>Run only with the documented prerequisites, approved scope and suitable specialist method; record method, version, limitations and reviewer disposition. Control objective: Pin container images by immutable digest for production deployments where feasible.</x:v>
      </x:c>
      <x:c r="F304" s="16" t="str">
        <x:v>Reproducible test case, approved test account/environment, tool/version and reviewer validation.</x:v>
      </x:c>
      <x:c r="G304" s="16" t="str">
        <x:v>manual_or_specialist_tool</x:v>
      </x:c>
      <x:c r="H304" s="16" t="str">
        <x:v>P1</x:v>
      </x:c>
      <x:c r="I304" s="16" t="str">
        <x:v>conditional</x:v>
      </x:c>
      <x:c r="J304" s="16" t="str">
        <x:v>adjacent; conditional; supporting | adjacent; conditional; supporting</x:v>
      </x:c>
      <x:c r="K304" s="16" t="str">
        <x:v>OWASP_CLOUD_NATIVE; NIST_800_53; NIST_CSF; ISO27017; CIS_CONTROLS; CIS_BENCHMARKS; SLSA</x:v>
      </x:c>
      <x:c r="L304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4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4" s="16" t="str">
        <x:v>not_assessed</x:v>
      </x:c>
      <x:c r="O304" s="16" t="str"/>
      <x:c r="P304" s="18" t="str"/>
      <x:c r="Q304" s="16" t="str"/>
      <x:c r="R304" s="16" t="str"/>
      <x:c r="S304" s="16" t="str"/>
      <x:c r="T304" s="18" t="str"/>
      <x:c r="U304" s="16" t="str"/>
      <x:c r="V304" s="16" t="n">
        <x:v>0</x:v>
      </x:c>
    </x:row>
    <x:row r="305">
      <x:c r="A305" s="16" t="str">
        <x:v>FWPRO-CLOUD-010</x:v>
      </x:c>
      <x:c r="B305" s="16" t="str">
        <x:v>CLOUD</x:v>
      </x:c>
      <x:c r="C305" s="16" t="str">
        <x:v>Cloud, container, Kubernetes and infrastructure as code</x:v>
      </x:c>
      <x:c r="D305" s="16" t="str">
        <x:v>Restrict Kubernetes API access, RBAC, admission policy and exposed dashboards.</x:v>
      </x:c>
      <x:c r="E305" s="16" t="str">
        <x:v>Run only with the documented prerequisites, approved scope and suitable specialist method; record method, version, limitations and reviewer disposition. Control objective: Restrict Kubernetes API access, RBAC, admission policy and exposed dashboards.</x:v>
      </x:c>
      <x:c r="F305" s="16" t="str">
        <x:v>Reproducible test case, approved test account/environment, tool/version and reviewer validation.</x:v>
      </x:c>
      <x:c r="G305" s="16" t="str">
        <x:v>manual_or_specialist_tool</x:v>
      </x:c>
      <x:c r="H305" s="16" t="str">
        <x:v>P1</x:v>
      </x:c>
      <x:c r="I305" s="16" t="str">
        <x:v>conditional</x:v>
      </x:c>
      <x:c r="J305" s="16" t="str">
        <x:v>adjacent; conditional; supporting | adjacent; conditional; supporting</x:v>
      </x:c>
      <x:c r="K305" s="16" t="str">
        <x:v>OWASP_CLOUD_NATIVE; NIST_800_53; NIST_CSF; ISO27017; CIS_CONTROLS; CIS_BENCHMARKS; SLSA</x:v>
      </x:c>
      <x:c r="L305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5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5" s="16" t="str">
        <x:v>not_assessed</x:v>
      </x:c>
      <x:c r="O305" s="16" t="str"/>
      <x:c r="P305" s="18" t="str"/>
      <x:c r="Q305" s="16" t="str"/>
      <x:c r="R305" s="16" t="str"/>
      <x:c r="S305" s="16" t="str"/>
      <x:c r="T305" s="18" t="str"/>
      <x:c r="U305" s="16" t="str"/>
      <x:c r="V305" s="16" t="n">
        <x:v>0</x:v>
      </x:c>
    </x:row>
    <x:row r="306">
      <x:c r="A306" s="16" t="str">
        <x:v>FWPRO-CLOUD-011</x:v>
      </x:c>
      <x:c r="B306" s="16" t="str">
        <x:v>CLOUD</x:v>
      </x:c>
      <x:c r="C306" s="16" t="str">
        <x:v>Cloud, container, Kubernetes and infrastructure as code</x:v>
      </x:c>
      <x:c r="D306" s="16" t="str">
        <x:v>Avoid privileged pods, host-path mounts and broad host namespace access unless explicitly approved.</x:v>
      </x:c>
      <x:c r="E306" s="16" t="str">
        <x:v>Run only with the documented prerequisites, approved scope and suitable specialist method; record method, version, limitations and reviewer disposition. Control objective: Avoid privileged pods, host-path mounts and broad host namespace access unless explicitly approved.</x:v>
      </x:c>
      <x:c r="F306" s="16" t="str">
        <x:v>Reproducible test case, approved test account/environment, tool/version and reviewer validation.</x:v>
      </x:c>
      <x:c r="G306" s="16" t="str">
        <x:v>manual_or_specialist_tool</x:v>
      </x:c>
      <x:c r="H306" s="16" t="str">
        <x:v>P1</x:v>
      </x:c>
      <x:c r="I306" s="16" t="str">
        <x:v>conditional</x:v>
      </x:c>
      <x:c r="J306" s="16" t="str">
        <x:v>adjacent; conditional; supporting | adjacent; conditional; supporting</x:v>
      </x:c>
      <x:c r="K306" s="16" t="str">
        <x:v>OWASP_CLOUD_NATIVE; NIST_800_53; NIST_CSF; ISO27017; CIS_CONTROLS; CIS_BENCHMARKS; SLSA</x:v>
      </x:c>
      <x:c r="L306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6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6" s="16" t="str">
        <x:v>not_assessed</x:v>
      </x:c>
      <x:c r="O306" s="16" t="str"/>
      <x:c r="P306" s="18" t="str"/>
      <x:c r="Q306" s="16" t="str"/>
      <x:c r="R306" s="16" t="str"/>
      <x:c r="S306" s="16" t="str"/>
      <x:c r="T306" s="18" t="str"/>
      <x:c r="U306" s="16" t="str"/>
      <x:c r="V306" s="16" t="n">
        <x:v>0</x:v>
      </x:c>
    </x:row>
    <x:row r="307">
      <x:c r="A307" s="16" t="str">
        <x:v>FWPRO-CLOUD-012</x:v>
      </x:c>
      <x:c r="B307" s="16" t="str">
        <x:v>CLOUD</x:v>
      </x:c>
      <x:c r="C307" s="16" t="str">
        <x:v>Cloud, container, Kubernetes and infrastructure as code</x:v>
      </x:c>
      <x:c r="D307" s="16" t="str">
        <x:v>Separate workloads and secrets across environments and trust zones.</x:v>
      </x:c>
      <x:c r="E307" s="16" t="str">
        <x:v>Run only with the documented prerequisites, approved scope and suitable specialist method; record method, version, limitations and reviewer disposition. Control objective: Separate workloads and secrets across environments and trust zones.</x:v>
      </x:c>
      <x:c r="F307" s="16" t="str">
        <x:v>Reproducible test case, approved test account/environment, tool/version and reviewer validation.</x:v>
      </x:c>
      <x:c r="G307" s="16" t="str">
        <x:v>manual_or_specialist_tool</x:v>
      </x:c>
      <x:c r="H307" s="16" t="str">
        <x:v>P1</x:v>
      </x:c>
      <x:c r="I307" s="16" t="str">
        <x:v>conditional</x:v>
      </x:c>
      <x:c r="J307" s="16" t="str">
        <x:v>adjacent; conditional; supporting | adjacent; conditional; supporting</x:v>
      </x:c>
      <x:c r="K307" s="16" t="str">
        <x:v>OWASP_CLOUD_NATIVE; NIST_800_53; NIST_CSF; ISO27017; CIS_CONTROLS; CIS_BENCHMARKS; SLSA</x:v>
      </x:c>
      <x:c r="L307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7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7" s="16" t="str">
        <x:v>not_assessed</x:v>
      </x:c>
      <x:c r="O307" s="16" t="str"/>
      <x:c r="P307" s="18" t="str"/>
      <x:c r="Q307" s="16" t="str"/>
      <x:c r="R307" s="16" t="str"/>
      <x:c r="S307" s="16" t="str"/>
      <x:c r="T307" s="18" t="str"/>
      <x:c r="U307" s="16" t="str"/>
      <x:c r="V307" s="16" t="n">
        <x:v>0</x:v>
      </x:c>
    </x:row>
    <x:row r="308">
      <x:c r="A308" s="16" t="str">
        <x:v>FWPRO-CLOUD-013</x:v>
      </x:c>
      <x:c r="B308" s="16" t="str">
        <x:v>CLOUD</x:v>
      </x:c>
      <x:c r="C308" s="16" t="str">
        <x:v>Cloud, container, Kubernetes and infrastructure as code</x:v>
      </x:c>
      <x:c r="D308" s="16" t="str">
        <x:v>Apply egress controls for workloads that can fetch arbitrary URLs or contact external services.</x:v>
      </x:c>
      <x:c r="E308" s="16" t="str">
        <x:v>Run only with the documented prerequisites, approved scope and suitable specialist method; record method, version, limitations and reviewer disposition. Control objective: Apply egress controls for workloads that can fetch arbitrary URLs or contact external services.</x:v>
      </x:c>
      <x:c r="F308" s="16" t="str">
        <x:v>Reproducible test case, approved test account/environment, tool/version and reviewer validation.</x:v>
      </x:c>
      <x:c r="G308" s="16" t="str">
        <x:v>manual_or_specialist_tool</x:v>
      </x:c>
      <x:c r="H308" s="16" t="str">
        <x:v>P1</x:v>
      </x:c>
      <x:c r="I308" s="16" t="str">
        <x:v>conditional</x:v>
      </x:c>
      <x:c r="J308" s="16" t="str">
        <x:v>adjacent; conditional; supporting | adjacent; conditional; supporting</x:v>
      </x:c>
      <x:c r="K308" s="16" t="str">
        <x:v>OWASP_CLOUD_NATIVE; NIST_800_53; NIST_CSF; ISO27017; CIS_CONTROLS; CIS_BENCHMARKS; SLSA</x:v>
      </x:c>
      <x:c r="L308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8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8" s="16" t="str">
        <x:v>not_assessed</x:v>
      </x:c>
      <x:c r="O308" s="16" t="str"/>
      <x:c r="P308" s="18" t="str"/>
      <x:c r="Q308" s="16" t="str"/>
      <x:c r="R308" s="16" t="str"/>
      <x:c r="S308" s="16" t="str"/>
      <x:c r="T308" s="18" t="str"/>
      <x:c r="U308" s="16" t="str"/>
      <x:c r="V308" s="16" t="n">
        <x:v>0</x:v>
      </x:c>
    </x:row>
    <x:row r="309">
      <x:c r="A309" s="16" t="str">
        <x:v>FWPRO-CLOUD-014</x:v>
      </x:c>
      <x:c r="B309" s="16" t="str">
        <x:v>CLOUD</x:v>
      </x:c>
      <x:c r="C309" s="16" t="str">
        <x:v>Cloud, container, Kubernetes and infrastructure as code</x:v>
      </x:c>
      <x:c r="D309" s="16" t="str">
        <x:v>Review cloud audit logging, key management, backup protection and configuration drift.</x:v>
      </x:c>
      <x:c r="E309" s="16" t="str">
        <x:v>Run only with the documented prerequisites, approved scope and suitable specialist method; record method, version, limitations and reviewer disposition. Control objective: Review cloud audit logging, key management, backup protection and configuration drift.</x:v>
      </x:c>
      <x:c r="F309" s="16" t="str">
        <x:v>Reproducible test case, approved test account/environment, tool/version and reviewer validation.</x:v>
      </x:c>
      <x:c r="G309" s="16" t="str">
        <x:v>manual_or_specialist_tool</x:v>
      </x:c>
      <x:c r="H309" s="16" t="str">
        <x:v>P1</x:v>
      </x:c>
      <x:c r="I309" s="16" t="str">
        <x:v>conditional</x:v>
      </x:c>
      <x:c r="J309" s="16" t="str">
        <x:v>adjacent; conditional; supporting | adjacent; conditional; supporting</x:v>
      </x:c>
      <x:c r="K309" s="16" t="str">
        <x:v>OWASP_CLOUD_NATIVE; NIST_800_53; NIST_CSF; ISO27017; CIS_CONTROLS; CIS_BENCHMARKS; SLSA</x:v>
      </x:c>
      <x:c r="L309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09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09" s="16" t="str">
        <x:v>not_assessed</x:v>
      </x:c>
      <x:c r="O309" s="16" t="str"/>
      <x:c r="P309" s="18" t="str"/>
      <x:c r="Q309" s="16" t="str"/>
      <x:c r="R309" s="16" t="str"/>
      <x:c r="S309" s="16" t="str"/>
      <x:c r="T309" s="18" t="str"/>
      <x:c r="U309" s="16" t="str"/>
      <x:c r="V309" s="16" t="n">
        <x:v>0</x:v>
      </x:c>
    </x:row>
    <x:row r="310">
      <x:c r="A310" s="16" t="str">
        <x:v>FWPRO-CLOUD-015</x:v>
      </x:c>
      <x:c r="B310" s="16" t="str">
        <x:v>CLOUD</x:v>
      </x:c>
      <x:c r="C310" s="16" t="str">
        <x:v>Cloud, container, Kubernetes and infrastructure as code</x:v>
      </x:c>
      <x:c r="D310" s="16" t="str">
        <x:v>Use the exact CIS Benchmark release for the product and version being assessed.</x:v>
      </x:c>
      <x:c r="E310" s="16" t="str">
        <x:v>Run only with the documented prerequisites, approved scope and suitable specialist method; record method, version, limitations and reviewer disposition. Control objective: Use the exact CIS Benchmark release for the product and version being assessed.</x:v>
      </x:c>
      <x:c r="F310" s="16" t="str">
        <x:v>Reproducible test case, approved test account/environment, tool/version and reviewer validation.</x:v>
      </x:c>
      <x:c r="G310" s="16" t="str">
        <x:v>manual_or_specialist_tool</x:v>
      </x:c>
      <x:c r="H310" s="16" t="str">
        <x:v>P1</x:v>
      </x:c>
      <x:c r="I310" s="16" t="str">
        <x:v>conditional</x:v>
      </x:c>
      <x:c r="J310" s="16" t="str">
        <x:v>adjacent; conditional; supporting | adjacent; conditional; supporting</x:v>
      </x:c>
      <x:c r="K310" s="16" t="str">
        <x:v>OWASP_CLOUD_NATIVE; NIST_800_53; NIST_CSF; ISO27017; CIS_CONTROLS; CIS_BENCHMARKS; SLSA</x:v>
      </x:c>
      <x:c r="L310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10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10" s="16" t="str">
        <x:v>not_assessed</x:v>
      </x:c>
      <x:c r="O310" s="16" t="str"/>
      <x:c r="P310" s="18" t="str"/>
      <x:c r="Q310" s="16" t="str"/>
      <x:c r="R310" s="16" t="str"/>
      <x:c r="S310" s="16" t="str"/>
      <x:c r="T310" s="18" t="str"/>
      <x:c r="U310" s="16" t="str"/>
      <x:c r="V310" s="16" t="n">
        <x:v>0</x:v>
      </x:c>
    </x:row>
    <x:row r="311">
      <x:c r="A311" s="16" t="str">
        <x:v>FWPRO-CLOUD-016</x:v>
      </x:c>
      <x:c r="B311" s="16" t="str">
        <x:v>CLOUD</x:v>
      </x:c>
      <x:c r="C311" s="16" t="str">
        <x:v>Cloud, container, Kubernetes and infrastructure as code</x:v>
      </x:c>
      <x:c r="D311" s="16" t="str">
        <x:v>Protect Terraform/CloudFormation state and CI plan output from secrets disclosure.</x:v>
      </x:c>
      <x:c r="E311" s="16" t="str">
        <x:v>Run only with the documented prerequisites, approved scope and suitable specialist method; record method, version, limitations and reviewer disposition. Control objective: Protect Terraform/CloudFormation state and CI plan output from secrets disclosure.</x:v>
      </x:c>
      <x:c r="F311" s="16" t="str">
        <x:v>Reproducible test case, approved test account/environment, tool/version and reviewer validation.</x:v>
      </x:c>
      <x:c r="G311" s="16" t="str">
        <x:v>manual_or_specialist_tool</x:v>
      </x:c>
      <x:c r="H311" s="16" t="str">
        <x:v>P1</x:v>
      </x:c>
      <x:c r="I311" s="16" t="str">
        <x:v>conditional</x:v>
      </x:c>
      <x:c r="J311" s="16" t="str">
        <x:v>adjacent; conditional; supporting | adjacent; conditional; supporting</x:v>
      </x:c>
      <x:c r="K311" s="16" t="str">
        <x:v>OWASP_CLOUD_NATIVE; NIST_800_53; NIST_CSF; ISO27017; CIS_CONTROLS; CIS_BENCHMARKS; SLSA</x:v>
      </x:c>
      <x:c r="L311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11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11" s="16" t="str">
        <x:v>not_assessed</x:v>
      </x:c>
      <x:c r="O311" s="16" t="str"/>
      <x:c r="P311" s="18" t="str"/>
      <x:c r="Q311" s="16" t="str"/>
      <x:c r="R311" s="16" t="str"/>
      <x:c r="S311" s="16" t="str"/>
      <x:c r="T311" s="18" t="str"/>
      <x:c r="U311" s="16" t="str"/>
      <x:c r="V311" s="16" t="n">
        <x:v>0</x:v>
      </x:c>
    </x:row>
    <x:row r="312">
      <x:c r="A312" s="16" t="str">
        <x:v>FWPRO-CLOUD-017</x:v>
      </x:c>
      <x:c r="B312" s="16" t="str">
        <x:v>CLOUD</x:v>
      </x:c>
      <x:c r="C312" s="16" t="str">
        <x:v>Cloud, container, Kubernetes and infrastructure as code</x:v>
      </x:c>
      <x:c r="D312" s="16" t="str">
        <x:v>Require review and approval for infrastructure changes affecting internet exposure or access boundaries.</x:v>
      </x:c>
      <x:c r="E312" s="16" t="str">
        <x:v>Run only with the documented prerequisites, approved scope and suitable specialist method; record method, version, limitations and reviewer disposition. Control objective: Require review and approval for infrastructure changes affecting internet exposure or access boundaries.</x:v>
      </x:c>
      <x:c r="F312" s="16" t="str">
        <x:v>Reproducible test case, approved test account/environment, tool/version and reviewer validation.</x:v>
      </x:c>
      <x:c r="G312" s="16" t="str">
        <x:v>manual_or_specialist_tool</x:v>
      </x:c>
      <x:c r="H312" s="16" t="str">
        <x:v>P1</x:v>
      </x:c>
      <x:c r="I312" s="16" t="str">
        <x:v>conditional</x:v>
      </x:c>
      <x:c r="J312" s="16" t="str">
        <x:v>adjacent; conditional; supporting | adjacent; conditional; supporting</x:v>
      </x:c>
      <x:c r="K312" s="16" t="str">
        <x:v>OWASP_CLOUD_NATIVE; NIST_800_53; NIST_CSF; ISO27017; CIS_CONTROLS; CIS_BENCHMARKS; SLSA</x:v>
      </x:c>
      <x:c r="L312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12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12" s="16" t="str">
        <x:v>not_assessed</x:v>
      </x:c>
      <x:c r="O312" s="16" t="str"/>
      <x:c r="P312" s="18" t="str"/>
      <x:c r="Q312" s="16" t="str"/>
      <x:c r="R312" s="16" t="str"/>
      <x:c r="S312" s="16" t="str"/>
      <x:c r="T312" s="18" t="str"/>
      <x:c r="U312" s="16" t="str"/>
      <x:c r="V312" s="16" t="n">
        <x:v>0</x:v>
      </x:c>
    </x:row>
    <x:row r="313">
      <x:c r="A313" s="16" t="str">
        <x:v>FWPRO-CLOUD-018</x:v>
      </x:c>
      <x:c r="B313" s="16" t="str">
        <x:v>CLOUD</x:v>
      </x:c>
      <x:c r="C313" s="16" t="str">
        <x:v>Cloud, container, Kubernetes and infrastructure as code</x:v>
      </x:c>
      <x:c r="D313" s="16" t="str">
        <x:v>Test restore and failover for critical cloud resources and managed data services.</x:v>
      </x:c>
      <x:c r="E313" s="16" t="str">
        <x:v>Run only with the documented prerequisites, approved scope and suitable specialist method; record method, version, limitations and reviewer disposition. Control objective: Test restore and failover for critical cloud resources and managed data services.</x:v>
      </x:c>
      <x:c r="F313" s="16" t="str">
        <x:v>Reproducible test case, approved test account/environment, tool/version and reviewer validation.</x:v>
      </x:c>
      <x:c r="G313" s="16" t="str">
        <x:v>manual_or_specialist_tool</x:v>
      </x:c>
      <x:c r="H313" s="16" t="str">
        <x:v>P1</x:v>
      </x:c>
      <x:c r="I313" s="16" t="str">
        <x:v>conditional</x:v>
      </x:c>
      <x:c r="J313" s="16" t="str">
        <x:v>adjacent; conditional; supporting | adjacent; conditional; supporting</x:v>
      </x:c>
      <x:c r="K313" s="16" t="str">
        <x:v>OWASP_CLOUD_NATIVE; NIST_800_53; NIST_CSF; ISO27017; CIS_CONTROLS; CIS_BENCHMARKS; SLSA</x:v>
      </x:c>
      <x:c r="L313" s="16" t="str">
        <x:v>OWASP Cloud-Native Application Security Top 10 (Project material marked interim/under review); NIST SP 800-53 Security and Privacy Controls (Rev. 5 + current errata); NIST Cybersecurity Framework (2.0); ISO/IEC 27017 Cloud Security Controls (2026 edition); CIS Critical Security Controls (v8.1); CIS Benchmarks (Product-specific rolling editions); Supply-chain Levels for Software Artifacts (1.2 (approved))</x:v>
      </x:c>
      <x:c r="M313" s="16" t="str">
        <x:v>https://owasp.org/projects/cloud-native-application-security-top-10; https://csrc.nist.gov/pubs/sp/800/53/r5/upd1/final; https://www.nist.gov/cyberframework; https://www.iso.org/standard/27017; https://www.cisecurity.org/controls/v8-1; https://www.cisecurity.org/cis-benchmarks; https://slsa.dev/spec/v1.2/</x:v>
      </x:c>
      <x:c r="N313" s="16" t="str">
        <x:v>not_assessed</x:v>
      </x:c>
      <x:c r="O313" s="16" t="str"/>
      <x:c r="P313" s="18" t="str"/>
      <x:c r="Q313" s="16" t="str"/>
      <x:c r="R313" s="16" t="str"/>
      <x:c r="S313" s="16" t="str"/>
      <x:c r="T313" s="18" t="str"/>
      <x:c r="U313" s="16" t="str"/>
      <x:c r="V313" s="16" t="n">
        <x:v>0</x:v>
      </x:c>
    </x:row>
    <x:row r="314">
      <x:c r="A314" s="16" t="str">
        <x:v>FWPRO-AVAIL-001</x:v>
      </x:c>
      <x:c r="B314" s="16" t="str">
        <x:v>AVAIL</x:v>
      </x:c>
      <x:c r="C314" s="16" t="str">
        <x:v>Availability, resilience, rate limiting and recovery</x:v>
      </x:c>
      <x:c r="D314" s="16" t="str">
        <x:v>Set explicit request, body, upload, response and processing timeouts throughout the stack.</x:v>
      </x:c>
      <x:c r="E314" s="16" t="str">
        <x:v>An accountable owner/reviewer confirms the control using current artifacts or reproducible test steps; exceptions have rationale, approver, compensating control and expiry. Control objective: Set explicit request, body, upload, response and processing timeouts throughout the stack.</x:v>
      </x:c>
      <x:c r="F314" s="16" t="str">
        <x:v>Reviewer steps, expected/observed result, sanitized evidence, impact, reviewer and approval/ticket.</x:v>
      </x:c>
      <x:c r="G314" s="16" t="str">
        <x:v>manual_review</x:v>
      </x:c>
      <x:c r="H314" s="16" t="str">
        <x:v>P1</x:v>
      </x:c>
      <x:c r="I314" s="16" t="str">
        <x:v>core</x:v>
      </x:c>
      <x:c r="J314" s="16" t="str">
        <x:v>direct; supporting | direct; supporting</x:v>
      </x:c>
      <x:c r="K314" s="16" t="str">
        <x:v>OWASP_API; OWASP_ATWA; NIST_CSF; NIST_800_53; ISO27001; ISO31000; NIST_800_61</x:v>
      </x:c>
      <x:c r="L314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14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14" s="16" t="str">
        <x:v>not_assessed</x:v>
      </x:c>
      <x:c r="O314" s="16" t="str"/>
      <x:c r="P314" s="18" t="str"/>
      <x:c r="Q314" s="16" t="str"/>
      <x:c r="R314" s="16" t="str"/>
      <x:c r="S314" s="16" t="str"/>
      <x:c r="T314" s="18" t="str"/>
      <x:c r="U314" s="16" t="str"/>
      <x:c r="V314" s="16" t="n">
        <x:v>0</x:v>
      </x:c>
    </x:row>
    <x:row r="315">
      <x:c r="A315" s="16" t="str">
        <x:v>FWPRO-AVAIL-002</x:v>
      </x:c>
      <x:c r="B315" s="16" t="str">
        <x:v>AVAIL</x:v>
      </x:c>
      <x:c r="C315" s="16" t="str">
        <x:v>Availability, resilience, rate limiting and recovery</x:v>
      </x:c>
      <x:c r="D315" s="16" t="str">
        <x:v>Limit concurrency, queue length and per-tenant work to prevent resource starvation.</x:v>
      </x:c>
      <x:c r="E315" s="16" t="str">
        <x:v>An accountable owner/reviewer confirms the control using current artifacts or reproducible test steps; exceptions have rationale, approver, compensating control and expiry. Control objective: Limit concurrency, queue length and per-tenant work to prevent resource starvation.</x:v>
      </x:c>
      <x:c r="F315" s="16" t="str">
        <x:v>Reviewer steps, expected/observed result, sanitized evidence, impact, reviewer and approval/ticket.</x:v>
      </x:c>
      <x:c r="G315" s="16" t="str">
        <x:v>manual_review</x:v>
      </x:c>
      <x:c r="H315" s="16" t="str">
        <x:v>P1</x:v>
      </x:c>
      <x:c r="I315" s="16" t="str">
        <x:v>core</x:v>
      </x:c>
      <x:c r="J315" s="16" t="str">
        <x:v>direct; supporting | direct; supporting</x:v>
      </x:c>
      <x:c r="K315" s="16" t="str">
        <x:v>OWASP_API; OWASP_ATWA; NIST_CSF; NIST_800_53; ISO27001; ISO31000; NIST_800_61</x:v>
      </x:c>
      <x:c r="L315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15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15" s="16" t="str">
        <x:v>not_assessed</x:v>
      </x:c>
      <x:c r="O315" s="16" t="str"/>
      <x:c r="P315" s="18" t="str"/>
      <x:c r="Q315" s="16" t="str"/>
      <x:c r="R315" s="16" t="str"/>
      <x:c r="S315" s="16" t="str"/>
      <x:c r="T315" s="18" t="str"/>
      <x:c r="U315" s="16" t="str"/>
      <x:c r="V315" s="16" t="n">
        <x:v>0</x:v>
      </x:c>
    </x:row>
    <x:row r="316">
      <x:c r="A316" s="16" t="str">
        <x:v>FWPRO-AVAIL-003</x:v>
      </x:c>
      <x:c r="B316" s="16" t="str">
        <x:v>AVAIL</x:v>
      </x:c>
      <x:c r="C316" s="16" t="str">
        <x:v>Availability, resilience, rate limiting and recovery</x:v>
      </x:c>
      <x:c r="D316" s="16" t="str">
        <x:v>Apply rate limiting consistently across login, search, exports, API and expensive business paths.</x:v>
      </x:c>
      <x:c r="E316" s="16" t="str">
        <x:v>An accountable owner/reviewer confirms the control using current artifacts or reproducible test steps; exceptions have rationale, approver, compensating control and expiry. Control objective: Apply rate limiting consistently across login, search, exports, API and expensive business paths.</x:v>
      </x:c>
      <x:c r="F316" s="16" t="str">
        <x:v>Reviewer steps, expected/observed result, sanitized evidence, impact, reviewer and approval/ticket.</x:v>
      </x:c>
      <x:c r="G316" s="16" t="str">
        <x:v>manual_review</x:v>
      </x:c>
      <x:c r="H316" s="16" t="str">
        <x:v>P1</x:v>
      </x:c>
      <x:c r="I316" s="16" t="str">
        <x:v>core</x:v>
      </x:c>
      <x:c r="J316" s="16" t="str">
        <x:v>direct; supporting | direct; supporting</x:v>
      </x:c>
      <x:c r="K316" s="16" t="str">
        <x:v>OWASP_API; OWASP_ATWA; NIST_CSF; NIST_800_53; ISO27001; ISO31000; NIST_800_61</x:v>
      </x:c>
      <x:c r="L316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16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16" s="16" t="str">
        <x:v>not_assessed</x:v>
      </x:c>
      <x:c r="O316" s="16" t="str"/>
      <x:c r="P316" s="18" t="str"/>
      <x:c r="Q316" s="16" t="str"/>
      <x:c r="R316" s="16" t="str"/>
      <x:c r="S316" s="16" t="str"/>
      <x:c r="T316" s="18" t="str"/>
      <x:c r="U316" s="16" t="str"/>
      <x:c r="V316" s="16" t="n">
        <x:v>0</x:v>
      </x:c>
    </x:row>
    <x:row r="317">
      <x:c r="A317" s="16" t="str">
        <x:v>FWPRO-AVAIL-004</x:v>
      </x:c>
      <x:c r="B317" s="16" t="str">
        <x:v>AVAIL</x:v>
      </x:c>
      <x:c r="C317" s="16" t="str">
        <x:v>Availability, resilience, rate limiting and recovery</x:v>
      </x:c>
      <x:c r="D317" s="16" t="str">
        <x:v>Bound regular-expression, decompression, image/document and GraphQL query processing costs.</x:v>
      </x:c>
      <x:c r="E317" s="16" t="str">
        <x:v>An accountable owner/reviewer confirms the control using current artifacts or reproducible test steps; exceptions have rationale, approver, compensating control and expiry. Control objective: Bound regular-expression, decompression, image/document and GraphQL query processing costs.</x:v>
      </x:c>
      <x:c r="F317" s="16" t="str">
        <x:v>Reviewer steps, expected/observed result, sanitized evidence, impact, reviewer and approval/ticket.</x:v>
      </x:c>
      <x:c r="G317" s="16" t="str">
        <x:v>manual_review</x:v>
      </x:c>
      <x:c r="H317" s="16" t="str">
        <x:v>P1</x:v>
      </x:c>
      <x:c r="I317" s="16" t="str">
        <x:v>core</x:v>
      </x:c>
      <x:c r="J317" s="16" t="str">
        <x:v>direct; supporting | direct; supporting</x:v>
      </x:c>
      <x:c r="K317" s="16" t="str">
        <x:v>OWASP_API; OWASP_ATWA; NIST_CSF; NIST_800_53; ISO27001; ISO31000; NIST_800_61</x:v>
      </x:c>
      <x:c r="L317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17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17" s="16" t="str">
        <x:v>not_assessed</x:v>
      </x:c>
      <x:c r="O317" s="16" t="str"/>
      <x:c r="P317" s="18" t="str"/>
      <x:c r="Q317" s="16" t="str"/>
      <x:c r="R317" s="16" t="str"/>
      <x:c r="S317" s="16" t="str"/>
      <x:c r="T317" s="18" t="str"/>
      <x:c r="U317" s="16" t="str"/>
      <x:c r="V317" s="16" t="n">
        <x:v>0</x:v>
      </x:c>
    </x:row>
    <x:row r="318">
      <x:c r="A318" s="16" t="str">
        <x:v>FWPRO-AVAIL-005</x:v>
      </x:c>
      <x:c r="B318" s="16" t="str">
        <x:v>AVAIL</x:v>
      </x:c>
      <x:c r="C318" s="16" t="str">
        <x:v>Availability, resilience, rate limiting and recovery</x:v>
      </x:c>
      <x:c r="D318" s="16" t="str">
        <x:v>Define service-level objectives, availability targets and business impact of downtime.</x:v>
      </x:c>
      <x:c r="E318" s="16" t="str">
        <x:v>An accountable owner/reviewer confirms the control using current artifacts or reproducible test steps; exceptions have rationale, approver, compensating control and expiry. Control objective: Define service-level objectives, availability targets and business impact of downtime.</x:v>
      </x:c>
      <x:c r="F318" s="16" t="str">
        <x:v>Reviewer steps, expected/observed result, sanitized evidence, impact, reviewer and approval/ticket.</x:v>
      </x:c>
      <x:c r="G318" s="16" t="str">
        <x:v>manual_review</x:v>
      </x:c>
      <x:c r="H318" s="16" t="str">
        <x:v>P1</x:v>
      </x:c>
      <x:c r="I318" s="16" t="str">
        <x:v>core</x:v>
      </x:c>
      <x:c r="J318" s="16" t="str">
        <x:v>direct; supporting | direct; supporting</x:v>
      </x:c>
      <x:c r="K318" s="16" t="str">
        <x:v>OWASP_API; OWASP_ATWA; NIST_CSF; NIST_800_53; ISO27001; ISO31000; NIST_800_61</x:v>
      </x:c>
      <x:c r="L318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18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18" s="16" t="str">
        <x:v>not_assessed</x:v>
      </x:c>
      <x:c r="O318" s="16" t="str"/>
      <x:c r="P318" s="18" t="str"/>
      <x:c r="Q318" s="16" t="str"/>
      <x:c r="R318" s="16" t="str"/>
      <x:c r="S318" s="16" t="str"/>
      <x:c r="T318" s="18" t="str"/>
      <x:c r="U318" s="16" t="str"/>
      <x:c r="V318" s="16" t="n">
        <x:v>0</x:v>
      </x:c>
    </x:row>
    <x:row r="319">
      <x:c r="A319" s="16" t="str">
        <x:v>FWPRO-AVAIL-006</x:v>
      </x:c>
      <x:c r="B319" s="16" t="str">
        <x:v>AVAIL</x:v>
      </x:c>
      <x:c r="C319" s="16" t="str">
        <x:v>Availability, resilience, rate limiting and recovery</x:v>
      </x:c>
      <x:c r="D319" s="16" t="str">
        <x:v>Maintain tested backups with access separation, retention and recovery objectives.</x:v>
      </x:c>
      <x:c r="E319" s="16" t="str">
        <x:v>An accountable owner/reviewer confirms the control using current artifacts or reproducible test steps; exceptions have rationale, approver, compensating control and expiry. Control objective: Maintain tested backups with access separation, retention and recovery objectives.</x:v>
      </x:c>
      <x:c r="F319" s="16" t="str">
        <x:v>Reviewer steps, expected/observed result, sanitized evidence, impact, reviewer and approval/ticket.</x:v>
      </x:c>
      <x:c r="G319" s="16" t="str">
        <x:v>manual_review</x:v>
      </x:c>
      <x:c r="H319" s="16" t="str">
        <x:v>P1</x:v>
      </x:c>
      <x:c r="I319" s="16" t="str">
        <x:v>core</x:v>
      </x:c>
      <x:c r="J319" s="16" t="str">
        <x:v>direct; supporting | direct; supporting</x:v>
      </x:c>
      <x:c r="K319" s="16" t="str">
        <x:v>OWASP_API; OWASP_ATWA; NIST_CSF; NIST_800_53; ISO27001; ISO31000; NIST_800_61</x:v>
      </x:c>
      <x:c r="L319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19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19" s="16" t="str">
        <x:v>not_assessed</x:v>
      </x:c>
      <x:c r="O319" s="16" t="str"/>
      <x:c r="P319" s="18" t="str"/>
      <x:c r="Q319" s="16" t="str"/>
      <x:c r="R319" s="16" t="str"/>
      <x:c r="S319" s="16" t="str"/>
      <x:c r="T319" s="18" t="str"/>
      <x:c r="U319" s="16" t="str"/>
      <x:c r="V319" s="16" t="n">
        <x:v>0</x:v>
      </x:c>
    </x:row>
    <x:row r="320">
      <x:c r="A320" s="16" t="str">
        <x:v>FWPRO-AVAIL-007</x:v>
      </x:c>
      <x:c r="B320" s="16" t="str">
        <x:v>AVAIL</x:v>
      </x:c>
      <x:c r="C320" s="16" t="str">
        <x:v>Availability, resilience, rate limiting and recovery</x:v>
      </x:c>
      <x:c r="D320" s="16" t="str">
        <x:v>Exercise restore and disaster-recovery procedures and record achieved recovery time/data loss.</x:v>
      </x:c>
      <x:c r="E320" s="16" t="str">
        <x:v>An accountable owner/reviewer confirms the control using current artifacts or reproducible test steps; exceptions have rationale, approver, compensating control and expiry. Control objective: Exercise restore and disaster-recovery procedures and record achieved recovery time/data loss.</x:v>
      </x:c>
      <x:c r="F320" s="16" t="str">
        <x:v>Reviewer steps, expected/observed result, sanitized evidence, impact, reviewer and approval/ticket.</x:v>
      </x:c>
      <x:c r="G320" s="16" t="str">
        <x:v>manual_review</x:v>
      </x:c>
      <x:c r="H320" s="16" t="str">
        <x:v>P1</x:v>
      </x:c>
      <x:c r="I320" s="16" t="str">
        <x:v>core</x:v>
      </x:c>
      <x:c r="J320" s="16" t="str">
        <x:v>direct; supporting | direct; supporting</x:v>
      </x:c>
      <x:c r="K320" s="16" t="str">
        <x:v>OWASP_API; OWASP_ATWA; NIST_CSF; NIST_800_53; ISO27001; ISO31000; NIST_800_61</x:v>
      </x:c>
      <x:c r="L320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0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0" s="16" t="str">
        <x:v>not_assessed</x:v>
      </x:c>
      <x:c r="O320" s="16" t="str"/>
      <x:c r="P320" s="18" t="str"/>
      <x:c r="Q320" s="16" t="str"/>
      <x:c r="R320" s="16" t="str"/>
      <x:c r="S320" s="16" t="str"/>
      <x:c r="T320" s="18" t="str"/>
      <x:c r="U320" s="16" t="str"/>
      <x:c r="V320" s="16" t="n">
        <x:v>0</x:v>
      </x:c>
    </x:row>
    <x:row r="321">
      <x:c r="A321" s="16" t="str">
        <x:v>FWPRO-AVAIL-008</x:v>
      </x:c>
      <x:c r="B321" s="16" t="str">
        <x:v>AVAIL</x:v>
      </x:c>
      <x:c r="C321" s="16" t="str">
        <x:v>Availability, resilience, rate limiting and recovery</x:v>
      </x:c>
      <x:c r="D321" s="16" t="str">
        <x:v>Test safe degradation when identity, payment, messaging, database or third-party services are unavailable.</x:v>
      </x:c>
      <x:c r="E321" s="16" t="str">
        <x:v>An accountable owner/reviewer confirms the control using current artifacts or reproducible test steps; exceptions have rationale, approver, compensating control and expiry. Control objective: Test safe degradation when identity, payment, messaging, database or third-party services are unavailable.</x:v>
      </x:c>
      <x:c r="F321" s="16" t="str">
        <x:v>Reviewer steps, expected/observed result, sanitized evidence, impact, reviewer and approval/ticket.</x:v>
      </x:c>
      <x:c r="G321" s="16" t="str">
        <x:v>manual_review</x:v>
      </x:c>
      <x:c r="H321" s="16" t="str">
        <x:v>P1</x:v>
      </x:c>
      <x:c r="I321" s="16" t="str">
        <x:v>core</x:v>
      </x:c>
      <x:c r="J321" s="16" t="str">
        <x:v>direct; supporting | direct; supporting</x:v>
      </x:c>
      <x:c r="K321" s="16" t="str">
        <x:v>OWASP_API; OWASP_ATWA; NIST_CSF; NIST_800_53; ISO27001; ISO31000; NIST_800_61</x:v>
      </x:c>
      <x:c r="L321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1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1" s="16" t="str">
        <x:v>not_assessed</x:v>
      </x:c>
      <x:c r="O321" s="16" t="str"/>
      <x:c r="P321" s="18" t="str"/>
      <x:c r="Q321" s="16" t="str"/>
      <x:c r="R321" s="16" t="str"/>
      <x:c r="S321" s="16" t="str"/>
      <x:c r="T321" s="18" t="str"/>
      <x:c r="U321" s="16" t="str"/>
      <x:c r="V321" s="16" t="n">
        <x:v>0</x:v>
      </x:c>
    </x:row>
    <x:row r="322">
      <x:c r="A322" s="16" t="str">
        <x:v>FWPRO-AVAIL-009</x:v>
      </x:c>
      <x:c r="B322" s="16" t="str">
        <x:v>AVAIL</x:v>
      </x:c>
      <x:c r="C322" s="16" t="str">
        <x:v>Availability, resilience, rate limiting and recovery</x:v>
      </x:c>
      <x:c r="D322" s="16" t="str">
        <x:v>Use circuit breakers/retry budgets and avoid unbounded retries across dependencies.</x:v>
      </x:c>
      <x:c r="E322" s="16" t="str">
        <x:v>An accountable owner/reviewer confirms the control using current artifacts or reproducible test steps; exceptions have rationale, approver, compensating control and expiry. Control objective: Use circuit breakers/retry budgets and avoid unbounded retries across dependencies.</x:v>
      </x:c>
      <x:c r="F322" s="16" t="str">
        <x:v>Reviewer steps, expected/observed result, sanitized evidence, impact, reviewer and approval/ticket.</x:v>
      </x:c>
      <x:c r="G322" s="16" t="str">
        <x:v>manual_review</x:v>
      </x:c>
      <x:c r="H322" s="16" t="str">
        <x:v>P1</x:v>
      </x:c>
      <x:c r="I322" s="16" t="str">
        <x:v>core</x:v>
      </x:c>
      <x:c r="J322" s="16" t="str">
        <x:v>direct; supporting | direct; supporting</x:v>
      </x:c>
      <x:c r="K322" s="16" t="str">
        <x:v>OWASP_API; OWASP_ATWA; NIST_CSF; NIST_800_53; ISO27001; ISO31000; NIST_800_61</x:v>
      </x:c>
      <x:c r="L322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2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2" s="16" t="str">
        <x:v>not_assessed</x:v>
      </x:c>
      <x:c r="O322" s="16" t="str"/>
      <x:c r="P322" s="18" t="str"/>
      <x:c r="Q322" s="16" t="str"/>
      <x:c r="R322" s="16" t="str"/>
      <x:c r="S322" s="16" t="str"/>
      <x:c r="T322" s="18" t="str"/>
      <x:c r="U322" s="16" t="str"/>
      <x:c r="V322" s="16" t="n">
        <x:v>0</x:v>
      </x:c>
    </x:row>
    <x:row r="323">
      <x:c r="A323" s="16" t="str">
        <x:v>FWPRO-AVAIL-010</x:v>
      </x:c>
      <x:c r="B323" s="16" t="str">
        <x:v>AVAIL</x:v>
      </x:c>
      <x:c r="C323" s="16" t="str">
        <x:v>Availability, resilience, rate limiting and recovery</x:v>
      </x:c>
      <x:c r="D323" s="16" t="str">
        <x:v>Protect queues and scheduled work against unbounded growth, poison messages and repeated execution.</x:v>
      </x:c>
      <x:c r="E323" s="16" t="str">
        <x:v>An accountable owner/reviewer confirms the control using current artifacts or reproducible test steps; exceptions have rationale, approver, compensating control and expiry. Control objective: Protect queues and scheduled work against unbounded growth, poison messages and repeated execution.</x:v>
      </x:c>
      <x:c r="F323" s="16" t="str">
        <x:v>Reviewer steps, expected/observed result, sanitized evidence, impact, reviewer and approval/ticket.</x:v>
      </x:c>
      <x:c r="G323" s="16" t="str">
        <x:v>manual_review</x:v>
      </x:c>
      <x:c r="H323" s="16" t="str">
        <x:v>P1</x:v>
      </x:c>
      <x:c r="I323" s="16" t="str">
        <x:v>core</x:v>
      </x:c>
      <x:c r="J323" s="16" t="str">
        <x:v>direct; supporting | direct; supporting</x:v>
      </x:c>
      <x:c r="K323" s="16" t="str">
        <x:v>OWASP_API; OWASP_ATWA; NIST_CSF; NIST_800_53; ISO27001; ISO31000; NIST_800_61</x:v>
      </x:c>
      <x:c r="L323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3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3" s="16" t="str">
        <x:v>not_assessed</x:v>
      </x:c>
      <x:c r="O323" s="16" t="str"/>
      <x:c r="P323" s="18" t="str"/>
      <x:c r="Q323" s="16" t="str"/>
      <x:c r="R323" s="16" t="str"/>
      <x:c r="S323" s="16" t="str"/>
      <x:c r="T323" s="18" t="str"/>
      <x:c r="U323" s="16" t="str"/>
      <x:c r="V323" s="16" t="n">
        <x:v>0</x:v>
      </x:c>
    </x:row>
    <x:row r="324">
      <x:c r="A324" s="16" t="str">
        <x:v>FWPRO-AVAIL-011</x:v>
      </x:c>
      <x:c r="B324" s="16" t="str">
        <x:v>AVAIL</x:v>
      </x:c>
      <x:c r="C324" s="16" t="str">
        <x:v>Availability, resilience, rate limiting and recovery</x:v>
      </x:c>
      <x:c r="D324" s="16" t="str">
        <x:v>Assess availability risks from slow client reads, large responses and connection exhaustion.</x:v>
      </x:c>
      <x:c r="E324" s="16" t="str">
        <x:v>An accountable owner/reviewer confirms the control using current artifacts or reproducible test steps; exceptions have rationale, approver, compensating control and expiry. Control objective: Assess availability risks from slow client reads, large responses and connection exhaustion.</x:v>
      </x:c>
      <x:c r="F324" s="16" t="str">
        <x:v>Reviewer steps, expected/observed result, sanitized evidence, impact, reviewer and approval/ticket.</x:v>
      </x:c>
      <x:c r="G324" s="16" t="str">
        <x:v>manual_review</x:v>
      </x:c>
      <x:c r="H324" s="16" t="str">
        <x:v>P1</x:v>
      </x:c>
      <x:c r="I324" s="16" t="str">
        <x:v>core</x:v>
      </x:c>
      <x:c r="J324" s="16" t="str">
        <x:v>direct; supporting | direct; supporting</x:v>
      </x:c>
      <x:c r="K324" s="16" t="str">
        <x:v>OWASP_API; OWASP_ATWA; NIST_CSF; NIST_800_53; ISO27001; ISO31000; NIST_800_61</x:v>
      </x:c>
      <x:c r="L324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4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4" s="16" t="str">
        <x:v>not_assessed</x:v>
      </x:c>
      <x:c r="O324" s="16" t="str"/>
      <x:c r="P324" s="18" t="str"/>
      <x:c r="Q324" s="16" t="str"/>
      <x:c r="R324" s="16" t="str"/>
      <x:c r="S324" s="16" t="str"/>
      <x:c r="T324" s="18" t="str"/>
      <x:c r="U324" s="16" t="str"/>
      <x:c r="V324" s="16" t="n">
        <x:v>0</x:v>
      </x:c>
    </x:row>
    <x:row r="325">
      <x:c r="A325" s="16" t="str">
        <x:v>FWPRO-AVAIL-012</x:v>
      </x:c>
      <x:c r="B325" s="16" t="str">
        <x:v>AVAIL</x:v>
      </x:c>
      <x:c r="C325" s="16" t="str">
        <x:v>Availability, resilience, rate limiting and recovery</x:v>
      </x:c>
      <x:c r="D325" s="16" t="str">
        <x:v>Perform load/stress/DoS tests only with explicit authorization and an agreed safe environment/window.</x:v>
      </x:c>
      <x:c r="E325" s="16" t="str">
        <x:v>An accountable owner/reviewer confirms the control using current artifacts or reproducible test steps; exceptions have rationale, approver, compensating control and expiry. Control objective: Perform load/stress/DoS tests only with explicit authorization and an agreed safe environment/window.</x:v>
      </x:c>
      <x:c r="F325" s="16" t="str">
        <x:v>Reviewer steps, expected/observed result, sanitized evidence, impact, reviewer and approval/ticket.</x:v>
      </x:c>
      <x:c r="G325" s="16" t="str">
        <x:v>manual_review</x:v>
      </x:c>
      <x:c r="H325" s="16" t="str">
        <x:v>P1</x:v>
      </x:c>
      <x:c r="I325" s="16" t="str">
        <x:v>core</x:v>
      </x:c>
      <x:c r="J325" s="16" t="str">
        <x:v>direct; supporting | direct; supporting</x:v>
      </x:c>
      <x:c r="K325" s="16" t="str">
        <x:v>OWASP_API; OWASP_ATWA; NIST_CSF; NIST_800_53; ISO27001; ISO31000; NIST_800_61</x:v>
      </x:c>
      <x:c r="L325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5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5" s="16" t="str">
        <x:v>not_assessed</x:v>
      </x:c>
      <x:c r="O325" s="16" t="str"/>
      <x:c r="P325" s="18" t="str"/>
      <x:c r="Q325" s="16" t="str"/>
      <x:c r="R325" s="16" t="str"/>
      <x:c r="S325" s="16" t="str"/>
      <x:c r="T325" s="18" t="str"/>
      <x:c r="U325" s="16" t="str"/>
      <x:c r="V325" s="16" t="n">
        <x:v>0</x:v>
      </x:c>
    </x:row>
    <x:row r="326">
      <x:c r="A326" s="16" t="str">
        <x:v>FWPRO-AVAIL-013</x:v>
      </x:c>
      <x:c r="B326" s="16" t="str">
        <x:v>AVAIL</x:v>
      </x:c>
      <x:c r="C326" s="16" t="str">
        <x:v>Availability, resilience, rate limiting and recovery</x:v>
      </x:c>
      <x:c r="D326" s="16" t="str">
        <x:v>Define operational thresholds and automatic stop rules for scans that increase target errors or latency.</x:v>
      </x:c>
      <x:c r="E326" s="16" t="str">
        <x:v>An accountable owner/reviewer confirms the control using current artifacts or reproducible test steps; exceptions have rationale, approver, compensating control and expiry. Control objective: Define operational thresholds and automatic stop rules for scans that increase target errors or latency.</x:v>
      </x:c>
      <x:c r="F326" s="16" t="str">
        <x:v>Reviewer steps, expected/observed result, sanitized evidence, impact, reviewer and approval/ticket.</x:v>
      </x:c>
      <x:c r="G326" s="16" t="str">
        <x:v>manual_review</x:v>
      </x:c>
      <x:c r="H326" s="16" t="str">
        <x:v>P1</x:v>
      </x:c>
      <x:c r="I326" s="16" t="str">
        <x:v>core</x:v>
      </x:c>
      <x:c r="J326" s="16" t="str">
        <x:v>direct; supporting | direct; supporting</x:v>
      </x:c>
      <x:c r="K326" s="16" t="str">
        <x:v>OWASP_API; OWASP_ATWA; NIST_CSF; NIST_800_53; ISO27001; ISO31000; NIST_800_61</x:v>
      </x:c>
      <x:c r="L326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6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6" s="16" t="str">
        <x:v>not_assessed</x:v>
      </x:c>
      <x:c r="O326" s="16" t="str"/>
      <x:c r="P326" s="18" t="str"/>
      <x:c r="Q326" s="16" t="str"/>
      <x:c r="R326" s="16" t="str"/>
      <x:c r="S326" s="16" t="str"/>
      <x:c r="T326" s="18" t="str"/>
      <x:c r="U326" s="16" t="str"/>
      <x:c r="V326" s="16" t="n">
        <x:v>0</x:v>
      </x:c>
    </x:row>
    <x:row r="327">
      <x:c r="A327" s="16" t="str">
        <x:v>FWPRO-AVAIL-014</x:v>
      </x:c>
      <x:c r="B327" s="16" t="str">
        <x:v>AVAIL</x:v>
      </x:c>
      <x:c r="C327" s="16" t="str">
        <x:v>Availability, resilience, rate limiting and recovery</x:v>
      </x:c>
      <x:c r="D327" s="16" t="str">
        <x:v>Maintain rollback plans for deployment failures and security hotfixes.</x:v>
      </x:c>
      <x:c r="E327" s="16" t="str">
        <x:v>An accountable owner/reviewer confirms the control using current artifacts or reproducible test steps; exceptions have rationale, approver, compensating control and expiry. Control objective: Maintain rollback plans for deployment failures and security hotfixes.</x:v>
      </x:c>
      <x:c r="F327" s="16" t="str">
        <x:v>Reviewer steps, expected/observed result, sanitized evidence, impact, reviewer and approval/ticket.</x:v>
      </x:c>
      <x:c r="G327" s="16" t="str">
        <x:v>manual_review</x:v>
      </x:c>
      <x:c r="H327" s="16" t="str">
        <x:v>P1</x:v>
      </x:c>
      <x:c r="I327" s="16" t="str">
        <x:v>core</x:v>
      </x:c>
      <x:c r="J327" s="16" t="str">
        <x:v>direct; supporting | direct; supporting</x:v>
      </x:c>
      <x:c r="K327" s="16" t="str">
        <x:v>OWASP_API; OWASP_ATWA; NIST_CSF; NIST_800_53; ISO27001; ISO31000; NIST_800_61</x:v>
      </x:c>
      <x:c r="L327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7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7" s="16" t="str">
        <x:v>not_assessed</x:v>
      </x:c>
      <x:c r="O327" s="16" t="str"/>
      <x:c r="P327" s="18" t="str"/>
      <x:c r="Q327" s="16" t="str"/>
      <x:c r="R327" s="16" t="str"/>
      <x:c r="S327" s="16" t="str"/>
      <x:c r="T327" s="18" t="str"/>
      <x:c r="U327" s="16" t="str"/>
      <x:c r="V327" s="16" t="n">
        <x:v>0</x:v>
      </x:c>
    </x:row>
    <x:row r="328">
      <x:c r="A328" s="16" t="str">
        <x:v>FWPRO-AVAIL-015</x:v>
      </x:c>
      <x:c r="B328" s="16" t="str">
        <x:v>AVAIL</x:v>
      </x:c>
      <x:c r="C328" s="16" t="str">
        <x:v>Availability, resilience, rate limiting and recovery</x:v>
      </x:c>
      <x:c r="D328" s="16" t="str">
        <x:v>Review multi-region/zone recovery and dependency single points of failure when the service needs them.</x:v>
      </x:c>
      <x:c r="E328" s="16" t="str">
        <x:v>An accountable owner/reviewer confirms the control using current artifacts or reproducible test steps; exceptions have rationale, approver, compensating control and expiry. Control objective: Review multi-region/zone recovery and dependency single points of failure when the service needs them.</x:v>
      </x:c>
      <x:c r="F328" s="16" t="str">
        <x:v>Reviewer steps, expected/observed result, sanitized evidence, impact, reviewer and approval/ticket.</x:v>
      </x:c>
      <x:c r="G328" s="16" t="str">
        <x:v>manual_review</x:v>
      </x:c>
      <x:c r="H328" s="16" t="str">
        <x:v>P1</x:v>
      </x:c>
      <x:c r="I328" s="16" t="str">
        <x:v>core</x:v>
      </x:c>
      <x:c r="J328" s="16" t="str">
        <x:v>direct; supporting | direct; supporting</x:v>
      </x:c>
      <x:c r="K328" s="16" t="str">
        <x:v>OWASP_API; OWASP_ATWA; NIST_CSF; NIST_800_53; ISO27001; ISO31000; NIST_800_61</x:v>
      </x:c>
      <x:c r="L328" s="16" t="str">
        <x:v>OWASP API Security Top 10 (2023); OWASP Automated Threats to Web Applications (2023 project edition / verify current project page); NIST Cybersecurity Framework (2.0); NIST SP 800-53 Security and Privacy Controls (Rev. 5 + current errata); ISO/IEC 27001 (2022); ISO 31000 Risk Management (2018; reviewed/confirmed current in 2023); NIST SP 800-61 Incident Response (Rev. 3 (2025))</x:v>
      </x:c>
      <x:c r="M328" s="16" t="str">
        <x:v>https://owasp.org/www-project-api-security/; https://owasp.org/www-project-automated-threats-to-web-applications/; https://www.nist.gov/cyberframework; https://csrc.nist.gov/pubs/sp/800/53/r5/upd1/final; https://www.iso.org/standard/27001; https://www.iso.org/standard/65694.html; https://csrc.nist.gov/pubs/sp/800/61/r3/final</x:v>
      </x:c>
      <x:c r="N328" s="16" t="str">
        <x:v>not_assessed</x:v>
      </x:c>
      <x:c r="O328" s="16" t="str"/>
      <x:c r="P328" s="18" t="str"/>
      <x:c r="Q328" s="16" t="str"/>
      <x:c r="R328" s="16" t="str"/>
      <x:c r="S328" s="16" t="str"/>
      <x:c r="T328" s="18" t="str"/>
      <x:c r="U328" s="16" t="str"/>
      <x:c r="V328" s="16" t="n">
        <x:v>0</x:v>
      </x:c>
    </x:row>
    <x:row r="329">
      <x:c r="A329" s="16" t="str">
        <x:v>FWPRO-VULN-001</x:v>
      </x:c>
      <x:c r="B329" s="16" t="str">
        <x:v>VULN</x:v>
      </x:c>
      <x:c r="C329" s="16" t="str">
        <x:v>Vulnerability management, disclosure and remediation</x:v>
      </x:c>
      <x:c r="D329" s="16" t="str">
        <x:v>Maintain a published vulnerability reporting channel and a clear product security contact.</x:v>
      </x:c>
      <x:c r="E329" s="16" t="str">
        <x:v>An accountable owner/reviewer confirms the control using current artifacts or reproducible test steps; exceptions have rationale, approver, compensating control and expiry. Control objective: Maintain a published vulnerability reporting channel and a clear product security contact.</x:v>
      </x:c>
      <x:c r="F329" s="16" t="str">
        <x:v>Reviewer steps, expected/observed result, sanitized evidence, impact, reviewer and approval/ticket.</x:v>
      </x:c>
      <x:c r="G329" s="16" t="str">
        <x:v>manual_review</x:v>
      </x:c>
      <x:c r="H329" s="16" t="str">
        <x:v>P1</x:v>
      </x:c>
      <x:c r="I329" s="16" t="str">
        <x:v>core</x:v>
      </x:c>
      <x:c r="J329" s="16" t="str">
        <x:v>direct; supporting | direct; supporting</x:v>
      </x:c>
      <x:c r="K329" s="16" t="str">
        <x:v>ISO29147; ISO30111; NIST_800_61; NIST_CSF; OWASP_SAMM; OWASP_ASVS; CWE_TOP25; CVSS; EPSS; CISA_KEV</x:v>
      </x:c>
      <x:c r="L329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29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29" s="16" t="str">
        <x:v>not_assessed</x:v>
      </x:c>
      <x:c r="O329" s="16" t="str"/>
      <x:c r="P329" s="18" t="str"/>
      <x:c r="Q329" s="16" t="str"/>
      <x:c r="R329" s="16" t="str"/>
      <x:c r="S329" s="16" t="str"/>
      <x:c r="T329" s="18" t="str"/>
      <x:c r="U329" s="16" t="str"/>
      <x:c r="V329" s="16" t="n">
        <x:v>0</x:v>
      </x:c>
    </x:row>
    <x:row r="330">
      <x:c r="A330" s="16" t="str">
        <x:v>FWPRO-VULN-002</x:v>
      </x:c>
      <x:c r="B330" s="16" t="str">
        <x:v>VULN</x:v>
      </x:c>
      <x:c r="C330" s="16" t="str">
        <x:v>Vulnerability management, disclosure and remediation</x:v>
      </x:c>
      <x:c r="D330" s="16" t="str">
        <x:v>Define intake, acknowledgment, triage, reproduction, assignment, disclosure and closure workflows.</x:v>
      </x:c>
      <x:c r="E330" s="16" t="str">
        <x:v>An accountable owner/reviewer confirms the control using current artifacts or reproducible test steps; exceptions have rationale, approver, compensating control and expiry. Control objective: Define intake, acknowledgment, triage, reproduction, assignment, disclosure and closure workflows.</x:v>
      </x:c>
      <x:c r="F330" s="16" t="str">
        <x:v>Reviewer steps, expected/observed result, sanitized evidence, impact, reviewer and approval/ticket.</x:v>
      </x:c>
      <x:c r="G330" s="16" t="str">
        <x:v>manual_review</x:v>
      </x:c>
      <x:c r="H330" s="16" t="str">
        <x:v>P1</x:v>
      </x:c>
      <x:c r="I330" s="16" t="str">
        <x:v>core</x:v>
      </x:c>
      <x:c r="J330" s="16" t="str">
        <x:v>direct; supporting | direct; supporting</x:v>
      </x:c>
      <x:c r="K330" s="16" t="str">
        <x:v>ISO29147; ISO30111; NIST_800_61; NIST_CSF; OWASP_SAMM; OWASP_ASVS; CWE_TOP25; CVSS; EPSS; CISA_KEV</x:v>
      </x:c>
      <x:c r="L330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0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0" s="16" t="str">
        <x:v>not_assessed</x:v>
      </x:c>
      <x:c r="O330" s="16" t="str"/>
      <x:c r="P330" s="18" t="str"/>
      <x:c r="Q330" s="16" t="str"/>
      <x:c r="R330" s="16" t="str"/>
      <x:c r="S330" s="16" t="str"/>
      <x:c r="T330" s="18" t="str"/>
      <x:c r="U330" s="16" t="str"/>
      <x:c r="V330" s="16" t="n">
        <x:v>0</x:v>
      </x:c>
    </x:row>
    <x:row r="331">
      <x:c r="A331" s="16" t="str">
        <x:v>FWPRO-VULN-003</x:v>
      </x:c>
      <x:c r="B331" s="16" t="str">
        <x:v>VULN</x:v>
      </x:c>
      <x:c r="C331" s="16" t="str">
        <x:v>Vulnerability management, disclosure and remediation</x:v>
      </x:c>
      <x:c r="D331" s="16" t="str">
        <x:v>Assign unique finding IDs and preserve source scan, affected asset, evidence and remediation history.</x:v>
      </x:c>
      <x:c r="E331" s="16" t="str">
        <x:v>An accountable owner/reviewer confirms the control using current artifacts or reproducible test steps; exceptions have rationale, approver, compensating control and expiry. Control objective: Assign unique finding IDs and preserve source scan, affected asset, evidence and remediation history.</x:v>
      </x:c>
      <x:c r="F331" s="16" t="str">
        <x:v>Reviewer steps, expected/observed result, sanitized evidence, impact, reviewer and approval/ticket.</x:v>
      </x:c>
      <x:c r="G331" s="16" t="str">
        <x:v>manual_review</x:v>
      </x:c>
      <x:c r="H331" s="16" t="str">
        <x:v>P1</x:v>
      </x:c>
      <x:c r="I331" s="16" t="str">
        <x:v>core</x:v>
      </x:c>
      <x:c r="J331" s="16" t="str">
        <x:v>direct; supporting | direct; supporting</x:v>
      </x:c>
      <x:c r="K331" s="16" t="str">
        <x:v>ISO29147; ISO30111; NIST_800_61; NIST_CSF; OWASP_SAMM; OWASP_ASVS; CWE_TOP25; CVSS; EPSS; CISA_KEV</x:v>
      </x:c>
      <x:c r="L331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1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1" s="16" t="str">
        <x:v>not_assessed</x:v>
      </x:c>
      <x:c r="O331" s="16" t="str"/>
      <x:c r="P331" s="18" t="str"/>
      <x:c r="Q331" s="16" t="str"/>
      <x:c r="R331" s="16" t="str"/>
      <x:c r="S331" s="16" t="str"/>
      <x:c r="T331" s="18" t="str"/>
      <x:c r="U331" s="16" t="str"/>
      <x:c r="V331" s="16" t="n">
        <x:v>0</x:v>
      </x:c>
    </x:row>
    <x:row r="332">
      <x:c r="A332" s="16" t="str">
        <x:v>FWPRO-VULN-004</x:v>
      </x:c>
      <x:c r="B332" s="16" t="str">
        <x:v>VULN</x:v>
      </x:c>
      <x:c r="C332" s="16" t="str">
        <x:v>Vulnerability management, disclosure and remediation</x:v>
      </x:c>
      <x:c r="D332" s="16" t="str">
        <x:v>Use CVSS v4.0 only when metrics and vector are defensibly assessed; keep heuristic risk separate.</x:v>
      </x:c>
      <x:c r="E332" s="16" t="str">
        <x:v>An accountable owner/reviewer confirms the control using current artifacts or reproducible test steps; exceptions have rationale, approver, compensating control and expiry. Control objective: Use CVSS v4.0 only when metrics and vector are defensibly assessed; keep heuristic risk separate.</x:v>
      </x:c>
      <x:c r="F332" s="16" t="str">
        <x:v>Reviewer steps, expected/observed result, sanitized evidence, impact, reviewer and approval/ticket.</x:v>
      </x:c>
      <x:c r="G332" s="16" t="str">
        <x:v>manual_review</x:v>
      </x:c>
      <x:c r="H332" s="16" t="str">
        <x:v>P1</x:v>
      </x:c>
      <x:c r="I332" s="16" t="str">
        <x:v>core</x:v>
      </x:c>
      <x:c r="J332" s="16" t="str">
        <x:v>direct; supporting | direct; supporting</x:v>
      </x:c>
      <x:c r="K332" s="16" t="str">
        <x:v>ISO29147; ISO30111; NIST_800_61; NIST_CSF; OWASP_SAMM; OWASP_ASVS; CWE_TOP25; CVSS; EPSS; CISA_KEV</x:v>
      </x:c>
      <x:c r="L332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2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2" s="16" t="str">
        <x:v>not_assessed</x:v>
      </x:c>
      <x:c r="O332" s="16" t="str"/>
      <x:c r="P332" s="18" t="str"/>
      <x:c r="Q332" s="16" t="str"/>
      <x:c r="R332" s="16" t="str"/>
      <x:c r="S332" s="16" t="str"/>
      <x:c r="T332" s="18" t="str"/>
      <x:c r="U332" s="16" t="str"/>
      <x:c r="V332" s="16" t="n">
        <x:v>0</x:v>
      </x:c>
    </x:row>
    <x:row r="333">
      <x:c r="A333" s="16" t="str">
        <x:v>FWPRO-VULN-005</x:v>
      </x:c>
      <x:c r="B333" s="16" t="str">
        <x:v>VULN</x:v>
      </x:c>
      <x:c r="C333" s="16" t="str">
        <x:v>Vulnerability management, disclosure and remediation</x:v>
      </x:c>
      <x:c r="D333" s="16" t="str">
        <x:v>Track confidence separately from impact/severity and require human verification for high-impact candidates.</x:v>
      </x:c>
      <x:c r="E333" s="16" t="str">
        <x:v>An accountable owner/reviewer confirms the control using current artifacts or reproducible test steps; exceptions have rationale, approver, compensating control and expiry. Control objective: Track confidence separately from impact/severity and require human verification for high-impact candidates.</x:v>
      </x:c>
      <x:c r="F333" s="16" t="str">
        <x:v>Reviewer steps, expected/observed result, sanitized evidence, impact, reviewer and approval/ticket.</x:v>
      </x:c>
      <x:c r="G333" s="16" t="str">
        <x:v>manual_review</x:v>
      </x:c>
      <x:c r="H333" s="16" t="str">
        <x:v>P1</x:v>
      </x:c>
      <x:c r="I333" s="16" t="str">
        <x:v>core</x:v>
      </x:c>
      <x:c r="J333" s="16" t="str">
        <x:v>direct; supporting | direct; supporting</x:v>
      </x:c>
      <x:c r="K333" s="16" t="str">
        <x:v>ISO29147; ISO30111; NIST_800_61; NIST_CSF; OWASP_SAMM; OWASP_ASVS; CWE_TOP25; CVSS; EPSS; CISA_KEV</x:v>
      </x:c>
      <x:c r="L333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3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3" s="16" t="str">
        <x:v>not_assessed</x:v>
      </x:c>
      <x:c r="O333" s="16" t="str"/>
      <x:c r="P333" s="18" t="str"/>
      <x:c r="Q333" s="16" t="str"/>
      <x:c r="R333" s="16" t="str"/>
      <x:c r="S333" s="16" t="str"/>
      <x:c r="T333" s="18" t="str"/>
      <x:c r="U333" s="16" t="str"/>
      <x:c r="V333" s="16" t="n">
        <x:v>0</x:v>
      </x:c>
    </x:row>
    <x:row r="334">
      <x:c r="A334" s="16" t="str">
        <x:v>FWPRO-VULN-006</x:v>
      </x:c>
      <x:c r="B334" s="16" t="str">
        <x:v>VULN</x:v>
      </x:c>
      <x:c r="C334" s="16" t="str">
        <x:v>Vulnerability management, disclosure and remediation</x:v>
      </x:c>
      <x:c r="D334" s="16" t="str">
        <x:v>Check KEV and EPSS data freshness when prioritizing known CVEs; record match rationale.</x:v>
      </x:c>
      <x:c r="E334" s="16" t="str">
        <x:v>An accountable owner/reviewer confirms the control using current artifacts or reproducible test steps; exceptions have rationale, approver, compensating control and expiry. Control objective: Check KEV and EPSS data freshness when prioritizing known CVEs; record match rationale.</x:v>
      </x:c>
      <x:c r="F334" s="16" t="str">
        <x:v>Reviewer steps, expected/observed result, sanitized evidence, impact, reviewer and approval/ticket.</x:v>
      </x:c>
      <x:c r="G334" s="16" t="str">
        <x:v>manual_review</x:v>
      </x:c>
      <x:c r="H334" s="16" t="str">
        <x:v>P1</x:v>
      </x:c>
      <x:c r="I334" s="16" t="str">
        <x:v>core</x:v>
      </x:c>
      <x:c r="J334" s="16" t="str">
        <x:v>direct; supporting | direct; supporting</x:v>
      </x:c>
      <x:c r="K334" s="16" t="str">
        <x:v>ISO29147; ISO30111; NIST_800_61; NIST_CSF; OWASP_SAMM; OWASP_ASVS; CWE_TOP25; CVSS; EPSS; CISA_KEV</x:v>
      </x:c>
      <x:c r="L334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4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4" s="16" t="str">
        <x:v>not_assessed</x:v>
      </x:c>
      <x:c r="O334" s="16" t="str"/>
      <x:c r="P334" s="18" t="str"/>
      <x:c r="Q334" s="16" t="str"/>
      <x:c r="R334" s="16" t="str"/>
      <x:c r="S334" s="16" t="str"/>
      <x:c r="T334" s="18" t="str"/>
      <x:c r="U334" s="16" t="str"/>
      <x:c r="V334" s="16" t="n">
        <x:v>0</x:v>
      </x:c>
    </x:row>
    <x:row r="335">
      <x:c r="A335" s="16" t="str">
        <x:v>FWPRO-VULN-007</x:v>
      </x:c>
      <x:c r="B335" s="16" t="str">
        <x:v>VULN</x:v>
      </x:c>
      <x:c r="C335" s="16" t="str">
        <x:v>Vulnerability management, disclosure and remediation</x:v>
      </x:c>
      <x:c r="D335" s="16" t="str">
        <x:v>Set remediation SLAs by severity, exposure, exploitability and business context.</x:v>
      </x:c>
      <x:c r="E335" s="16" t="str">
        <x:v>An accountable owner/reviewer confirms the control using current artifacts or reproducible test steps; exceptions have rationale, approver, compensating control and expiry. Control objective: Set remediation SLAs by severity, exposure, exploitability and business context.</x:v>
      </x:c>
      <x:c r="F335" s="16" t="str">
        <x:v>Reviewer steps, expected/observed result, sanitized evidence, impact, reviewer and approval/ticket.</x:v>
      </x:c>
      <x:c r="G335" s="16" t="str">
        <x:v>manual_review</x:v>
      </x:c>
      <x:c r="H335" s="16" t="str">
        <x:v>P1</x:v>
      </x:c>
      <x:c r="I335" s="16" t="str">
        <x:v>core</x:v>
      </x:c>
      <x:c r="J335" s="16" t="str">
        <x:v>direct; supporting | direct; supporting</x:v>
      </x:c>
      <x:c r="K335" s="16" t="str">
        <x:v>ISO29147; ISO30111; NIST_800_61; NIST_CSF; OWASP_SAMM; OWASP_ASVS; CWE_TOP25; CVSS; EPSS; CISA_KEV</x:v>
      </x:c>
      <x:c r="L335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5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5" s="16" t="str">
        <x:v>not_assessed</x:v>
      </x:c>
      <x:c r="O335" s="16" t="str"/>
      <x:c r="P335" s="18" t="str"/>
      <x:c r="Q335" s="16" t="str"/>
      <x:c r="R335" s="16" t="str"/>
      <x:c r="S335" s="16" t="str"/>
      <x:c r="T335" s="18" t="str"/>
      <x:c r="U335" s="16" t="str"/>
      <x:c r="V335" s="16" t="n">
        <x:v>0</x:v>
      </x:c>
    </x:row>
    <x:row r="336">
      <x:c r="A336" s="16" t="str">
        <x:v>FWPRO-VULN-008</x:v>
      </x:c>
      <x:c r="B336" s="16" t="str">
        <x:v>VULN</x:v>
      </x:c>
      <x:c r="C336" s="16" t="str">
        <x:v>Vulnerability management, disclosure and remediation</x:v>
      </x:c>
      <x:c r="D336" s="16" t="str">
        <x:v>Require regression tests and retesting after fixes, with state transitions recorded.</x:v>
      </x:c>
      <x:c r="E336" s="16" t="str">
        <x:v>An accountable owner/reviewer confirms the control using current artifacts or reproducible test steps; exceptions have rationale, approver, compensating control and expiry. Control objective: Require regression tests and retesting after fixes, with state transitions recorded.</x:v>
      </x:c>
      <x:c r="F336" s="16" t="str">
        <x:v>Reviewer steps, expected/observed result, sanitized evidence, impact, reviewer and approval/ticket.</x:v>
      </x:c>
      <x:c r="G336" s="16" t="str">
        <x:v>manual_review</x:v>
      </x:c>
      <x:c r="H336" s="16" t="str">
        <x:v>P1</x:v>
      </x:c>
      <x:c r="I336" s="16" t="str">
        <x:v>core</x:v>
      </x:c>
      <x:c r="J336" s="16" t="str">
        <x:v>direct; supporting | direct; supporting</x:v>
      </x:c>
      <x:c r="K336" s="16" t="str">
        <x:v>ISO29147; ISO30111; NIST_800_61; NIST_CSF; OWASP_SAMM; OWASP_ASVS; CWE_TOP25; CVSS; EPSS; CISA_KEV</x:v>
      </x:c>
      <x:c r="L336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6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6" s="16" t="str">
        <x:v>not_assessed</x:v>
      </x:c>
      <x:c r="O336" s="16" t="str"/>
      <x:c r="P336" s="18" t="str"/>
      <x:c r="Q336" s="16" t="str"/>
      <x:c r="R336" s="16" t="str"/>
      <x:c r="S336" s="16" t="str"/>
      <x:c r="T336" s="18" t="str"/>
      <x:c r="U336" s="16" t="str"/>
      <x:c r="V336" s="16" t="n">
        <x:v>0</x:v>
      </x:c>
    </x:row>
    <x:row r="337">
      <x:c r="A337" s="16" t="str">
        <x:v>FWPRO-VULN-009</x:v>
      </x:c>
      <x:c r="B337" s="16" t="str">
        <x:v>VULN</x:v>
      </x:c>
      <x:c r="C337" s="16" t="str">
        <x:v>Vulnerability management, disclosure and remediation</x:v>
      </x:c>
      <x:c r="D337" s="16" t="str">
        <x:v>Provide a documented false-positive process with rationale, reviewer and expiry/review date.</x:v>
      </x:c>
      <x:c r="E337" s="16" t="str">
        <x:v>An accountable owner/reviewer confirms the control using current artifacts or reproducible test steps; exceptions have rationale, approver, compensating control and expiry. Control objective: Provide a documented false-positive process with rationale, reviewer and expiry/review date.</x:v>
      </x:c>
      <x:c r="F337" s="16" t="str">
        <x:v>Reviewer steps, expected/observed result, sanitized evidence, impact, reviewer and approval/ticket.</x:v>
      </x:c>
      <x:c r="G337" s="16" t="str">
        <x:v>manual_review</x:v>
      </x:c>
      <x:c r="H337" s="16" t="str">
        <x:v>P1</x:v>
      </x:c>
      <x:c r="I337" s="16" t="str">
        <x:v>core</x:v>
      </x:c>
      <x:c r="J337" s="16" t="str">
        <x:v>direct; supporting | direct; supporting</x:v>
      </x:c>
      <x:c r="K337" s="16" t="str">
        <x:v>ISO29147; ISO30111; NIST_800_61; NIST_CSF; OWASP_SAMM; OWASP_ASVS; CWE_TOP25; CVSS; EPSS; CISA_KEV</x:v>
      </x:c>
      <x:c r="L337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7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7" s="16" t="str">
        <x:v>not_assessed</x:v>
      </x:c>
      <x:c r="O337" s="16" t="str"/>
      <x:c r="P337" s="18" t="str"/>
      <x:c r="Q337" s="16" t="str"/>
      <x:c r="R337" s="16" t="str"/>
      <x:c r="S337" s="16" t="str"/>
      <x:c r="T337" s="18" t="str"/>
      <x:c r="U337" s="16" t="str"/>
      <x:c r="V337" s="16" t="n">
        <x:v>0</x:v>
      </x:c>
    </x:row>
    <x:row r="338">
      <x:c r="A338" s="16" t="str">
        <x:v>FWPRO-VULN-010</x:v>
      </x:c>
      <x:c r="B338" s="16" t="str">
        <x:v>VULN</x:v>
      </x:c>
      <x:c r="C338" s="16" t="str">
        <x:v>Vulnerability management, disclosure and remediation</x:v>
      </x:c>
      <x:c r="D338" s="16" t="str">
        <x:v>Require formal risk acceptance with compensating controls and an expiration date.</x:v>
      </x:c>
      <x:c r="E338" s="16" t="str">
        <x:v>An accountable owner/reviewer confirms the control using current artifacts or reproducible test steps; exceptions have rationale, approver, compensating control and expiry. Control objective: Require formal risk acceptance with compensating controls and an expiration date.</x:v>
      </x:c>
      <x:c r="F338" s="16" t="str">
        <x:v>Reviewer steps, expected/observed result, sanitized evidence, impact, reviewer and approval/ticket.</x:v>
      </x:c>
      <x:c r="G338" s="16" t="str">
        <x:v>manual_review</x:v>
      </x:c>
      <x:c r="H338" s="16" t="str">
        <x:v>P1</x:v>
      </x:c>
      <x:c r="I338" s="16" t="str">
        <x:v>core</x:v>
      </x:c>
      <x:c r="J338" s="16" t="str">
        <x:v>direct; supporting | direct; supporting</x:v>
      </x:c>
      <x:c r="K338" s="16" t="str">
        <x:v>ISO29147; ISO30111; NIST_800_61; NIST_CSF; OWASP_SAMM; OWASP_ASVS; CWE_TOP25; CVSS; EPSS; CISA_KEV</x:v>
      </x:c>
      <x:c r="L338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8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8" s="16" t="str">
        <x:v>not_assessed</x:v>
      </x:c>
      <x:c r="O338" s="16" t="str"/>
      <x:c r="P338" s="18" t="str"/>
      <x:c r="Q338" s="16" t="str"/>
      <x:c r="R338" s="16" t="str"/>
      <x:c r="S338" s="16" t="str"/>
      <x:c r="T338" s="18" t="str"/>
      <x:c r="U338" s="16" t="str"/>
      <x:c r="V338" s="16" t="n">
        <x:v>0</x:v>
      </x:c>
    </x:row>
    <x:row r="339">
      <x:c r="A339" s="16" t="str">
        <x:v>FWPRO-VULN-011</x:v>
      </x:c>
      <x:c r="B339" s="16" t="str">
        <x:v>VULN</x:v>
      </x:c>
      <x:c r="C339" s="16" t="str">
        <x:v>Vulnerability management, disclosure and remediation</x:v>
      </x:c>
      <x:c r="D339" s="16" t="str">
        <x:v>Coordinate disclosure with affected customers, maintainers and downstream users as appropriate.</x:v>
      </x:c>
      <x:c r="E339" s="16" t="str">
        <x:v>An accountable owner/reviewer confirms the control using current artifacts or reproducible test steps; exceptions have rationale, approver, compensating control and expiry. Control objective: Coordinate disclosure with affected customers, maintainers and downstream users as appropriate.</x:v>
      </x:c>
      <x:c r="F339" s="16" t="str">
        <x:v>Reviewer steps, expected/observed result, sanitized evidence, impact, reviewer and approval/ticket.</x:v>
      </x:c>
      <x:c r="G339" s="16" t="str">
        <x:v>manual_review</x:v>
      </x:c>
      <x:c r="H339" s="16" t="str">
        <x:v>P1</x:v>
      </x:c>
      <x:c r="I339" s="16" t="str">
        <x:v>core</x:v>
      </x:c>
      <x:c r="J339" s="16" t="str">
        <x:v>direct; supporting | direct; supporting</x:v>
      </x:c>
      <x:c r="K339" s="16" t="str">
        <x:v>ISO29147; ISO30111; NIST_800_61; NIST_CSF; OWASP_SAMM; OWASP_ASVS; CWE_TOP25; CVSS; EPSS; CISA_KEV</x:v>
      </x:c>
      <x:c r="L339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39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39" s="16" t="str">
        <x:v>not_assessed</x:v>
      </x:c>
      <x:c r="O339" s="16" t="str"/>
      <x:c r="P339" s="18" t="str"/>
      <x:c r="Q339" s="16" t="str"/>
      <x:c r="R339" s="16" t="str"/>
      <x:c r="S339" s="16" t="str"/>
      <x:c r="T339" s="18" t="str"/>
      <x:c r="U339" s="16" t="str"/>
      <x:c r="V339" s="16" t="n">
        <x:v>0</x:v>
      </x:c>
    </x:row>
    <x:row r="340">
      <x:c r="A340" s="16" t="str">
        <x:v>FWPRO-VULN-012</x:v>
      </x:c>
      <x:c r="B340" s="16" t="str">
        <x:v>VULN</x:v>
      </x:c>
      <x:c r="C340" s="16" t="str">
        <x:v>Vulnerability management, disclosure and remediation</x:v>
      </x:c>
      <x:c r="D340" s="16" t="str">
        <x:v>Preserve sanitized evidence without collecting more sensitive data than necessary.</x:v>
      </x:c>
      <x:c r="E340" s="16" t="str">
        <x:v>An accountable owner/reviewer confirms the control using current artifacts or reproducible test steps; exceptions have rationale, approver, compensating control and expiry. Control objective: Preserve sanitized evidence without collecting more sensitive data than necessary.</x:v>
      </x:c>
      <x:c r="F340" s="16" t="str">
        <x:v>Reviewer steps, expected/observed result, sanitized evidence, impact, reviewer and approval/ticket.</x:v>
      </x:c>
      <x:c r="G340" s="16" t="str">
        <x:v>manual_review</x:v>
      </x:c>
      <x:c r="H340" s="16" t="str">
        <x:v>P1</x:v>
      </x:c>
      <x:c r="I340" s="16" t="str">
        <x:v>core</x:v>
      </x:c>
      <x:c r="J340" s="16" t="str">
        <x:v>direct; supporting | direct; supporting</x:v>
      </x:c>
      <x:c r="K340" s="16" t="str">
        <x:v>ISO29147; ISO30111; NIST_800_61; NIST_CSF; OWASP_SAMM; OWASP_ASVS; CWE_TOP25; CVSS; EPSS; CISA_KEV</x:v>
      </x:c>
      <x:c r="L340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40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40" s="16" t="str">
        <x:v>not_assessed</x:v>
      </x:c>
      <x:c r="O340" s="16" t="str"/>
      <x:c r="P340" s="18" t="str"/>
      <x:c r="Q340" s="16" t="str"/>
      <x:c r="R340" s="16" t="str"/>
      <x:c r="S340" s="16" t="str"/>
      <x:c r="T340" s="18" t="str"/>
      <x:c r="U340" s="16" t="str"/>
      <x:c r="V340" s="16" t="n">
        <x:v>0</x:v>
      </x:c>
    </x:row>
    <x:row r="341">
      <x:c r="A341" s="16" t="str">
        <x:v>FWPRO-VULN-013</x:v>
      </x:c>
      <x:c r="B341" s="16" t="str">
        <x:v>VULN</x:v>
      </x:c>
      <x:c r="C341" s="16" t="str">
        <x:v>Vulnerability management, disclosure and remediation</x:v>
      </x:c>
      <x:c r="D341" s="16" t="str">
        <x:v>Track repeated/root-cause vulnerabilities and update design guidance or shared libraries.</x:v>
      </x:c>
      <x:c r="E341" s="16" t="str">
        <x:v>An accountable owner/reviewer confirms the control using current artifacts or reproducible test steps; exceptions have rationale, approver, compensating control and expiry. Control objective: Track repeated/root-cause vulnerabilities and update design guidance or shared libraries.</x:v>
      </x:c>
      <x:c r="F341" s="16" t="str">
        <x:v>Reviewer steps, expected/observed result, sanitized evidence, impact, reviewer and approval/ticket.</x:v>
      </x:c>
      <x:c r="G341" s="16" t="str">
        <x:v>manual_review</x:v>
      </x:c>
      <x:c r="H341" s="16" t="str">
        <x:v>P1</x:v>
      </x:c>
      <x:c r="I341" s="16" t="str">
        <x:v>core</x:v>
      </x:c>
      <x:c r="J341" s="16" t="str">
        <x:v>direct; supporting | direct; supporting</x:v>
      </x:c>
      <x:c r="K341" s="16" t="str">
        <x:v>ISO29147; ISO30111; NIST_800_61; NIST_CSF; OWASP_SAMM; OWASP_ASVS; CWE_TOP25; CVSS; EPSS; CISA_KEV</x:v>
      </x:c>
      <x:c r="L341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41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41" s="16" t="str">
        <x:v>not_assessed</x:v>
      </x:c>
      <x:c r="O341" s="16" t="str"/>
      <x:c r="P341" s="18" t="str"/>
      <x:c r="Q341" s="16" t="str"/>
      <x:c r="R341" s="16" t="str"/>
      <x:c r="S341" s="16" t="str"/>
      <x:c r="T341" s="18" t="str"/>
      <x:c r="U341" s="16" t="str"/>
      <x:c r="V341" s="16" t="n">
        <x:v>0</x:v>
      </x:c>
    </x:row>
    <x:row r="342">
      <x:c r="A342" s="16" t="str">
        <x:v>FWPRO-VULN-014</x:v>
      </x:c>
      <x:c r="B342" s="16" t="str">
        <x:v>VULN</x:v>
      </x:c>
      <x:c r="C342" s="16" t="str">
        <x:v>Vulnerability management, disclosure and remediation</x:v>
      </x:c>
      <x:c r="D342" s="16" t="str">
        <x:v>Define a process for emergency mitigations when complete remediation is not immediately possible.</x:v>
      </x:c>
      <x:c r="E342" s="16" t="str">
        <x:v>An accountable owner/reviewer confirms the control using current artifacts or reproducible test steps; exceptions have rationale, approver, compensating control and expiry. Control objective: Define a process for emergency mitigations when complete remediation is not immediately possible.</x:v>
      </x:c>
      <x:c r="F342" s="16" t="str">
        <x:v>Reviewer steps, expected/observed result, sanitized evidence, impact, reviewer and approval/ticket.</x:v>
      </x:c>
      <x:c r="G342" s="16" t="str">
        <x:v>manual_review</x:v>
      </x:c>
      <x:c r="H342" s="16" t="str">
        <x:v>P1</x:v>
      </x:c>
      <x:c r="I342" s="16" t="str">
        <x:v>core</x:v>
      </x:c>
      <x:c r="J342" s="16" t="str">
        <x:v>direct; supporting | direct; supporting</x:v>
      </x:c>
      <x:c r="K342" s="16" t="str">
        <x:v>ISO29147; ISO30111; NIST_800_61; NIST_CSF; OWASP_SAMM; OWASP_ASVS; CWE_TOP25; CVSS; EPSS; CISA_KEV</x:v>
      </x:c>
      <x:c r="L342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42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42" s="16" t="str">
        <x:v>not_assessed</x:v>
      </x:c>
      <x:c r="O342" s="16" t="str"/>
      <x:c r="P342" s="18" t="str"/>
      <x:c r="Q342" s="16" t="str"/>
      <x:c r="R342" s="16" t="str"/>
      <x:c r="S342" s="16" t="str"/>
      <x:c r="T342" s="18" t="str"/>
      <x:c r="U342" s="16" t="str"/>
      <x:c r="V342" s="16" t="n">
        <x:v>0</x:v>
      </x:c>
    </x:row>
    <x:row r="343">
      <x:c r="A343" s="16" t="str">
        <x:v>FWPRO-VULN-015</x:v>
      </x:c>
      <x:c r="B343" s="16" t="str">
        <x:v>VULN</x:v>
      </x:c>
      <x:c r="C343" s="16" t="str">
        <x:v>Vulnerability management, disclosure and remediation</x:v>
      </x:c>
      <x:c r="D343" s="16" t="str">
        <x:v>Provide customers with actionable advisories and upgrade/remediation guidance when disclosure is appropriate.</x:v>
      </x:c>
      <x:c r="E343" s="16" t="str">
        <x:v>An accountable owner/reviewer confirms the control using current artifacts or reproducible test steps; exceptions have rationale, approver, compensating control and expiry. Control objective: Provide customers with actionable advisories and upgrade/remediation guidance when disclosure is appropriate.</x:v>
      </x:c>
      <x:c r="F343" s="16" t="str">
        <x:v>Reviewer steps, expected/observed result, sanitized evidence, impact, reviewer and approval/ticket.</x:v>
      </x:c>
      <x:c r="G343" s="16" t="str">
        <x:v>manual_review</x:v>
      </x:c>
      <x:c r="H343" s="16" t="str">
        <x:v>P1</x:v>
      </x:c>
      <x:c r="I343" s="16" t="str">
        <x:v>core</x:v>
      </x:c>
      <x:c r="J343" s="16" t="str">
        <x:v>direct; supporting | direct; supporting</x:v>
      </x:c>
      <x:c r="K343" s="16" t="str">
        <x:v>ISO29147; ISO30111; NIST_800_61; NIST_CSF; OWASP_SAMM; OWASP_ASVS; CWE_TOP25; CVSS; EPSS; CISA_KEV</x:v>
      </x:c>
      <x:c r="L343" s="16" t="str">
        <x:v>ISO/IEC 29147 Vulnerability Disclosure (2018; reviewed/confirmed current in 2024); ISO/IEC 30111 Vulnerability Handling (2019; reviewed/confirmed current in 2025); NIST SP 800-61 Incident Response (Rev. 3 (2025)); NIST Cybersecurity Framework (2.0); OWASP Software Assurance Maturity Model (2.2.0 (project-listed)); OWASP Application Security Verification Standard (5.0.0 (stable)); MITRE CWE Top 25 (2025); FIRST Common Vulnerability Scoring System (4.0); FIRST Exploit Prediction Scoring System (Rolling daily model); CISA Known Exploited Vulnerabilities Catalog (Rolling catalog)</x:v>
      </x:c>
      <x:c r="M343" s="16" t="str">
        <x:v>https://www.iso.org/standard/72311.html; https://www.iso.org/standard/69725.html; https://csrc.nist.gov/pubs/sp/800/61/r3/final; https://www.nist.gov/cyberframework; https://owaspsamm.org/model/; https://owasp.org/www-project-application-security-verification-standard/; https://cwe.mitre.org/top25/archive/2025/2025_cwe_top25; https://www.first.org/cvss/v4.0/; https://www.first.org/epss/; https://www.cisa.gov/known-exploited-vulnerabilities-catalog</x:v>
      </x:c>
      <x:c r="N343" s="16" t="str">
        <x:v>not_assessed</x:v>
      </x:c>
      <x:c r="O343" s="16" t="str"/>
      <x:c r="P343" s="18" t="str"/>
      <x:c r="Q343" s="16" t="str"/>
      <x:c r="R343" s="16" t="str"/>
      <x:c r="S343" s="16" t="str"/>
      <x:c r="T343" s="18" t="str"/>
      <x:c r="U343" s="16" t="str"/>
      <x:c r="V343" s="16" t="n">
        <x:v>0</x:v>
      </x:c>
    </x:row>
    <x:row r="344">
      <x:c r="A344" s="16" t="str">
        <x:v>FWPRO-PRIVREG-001</x:v>
      </x:c>
      <x:c r="B344" s="16" t="str">
        <x:v>PRIVREG</x:v>
      </x:c>
      <x:c r="C344" s="16" t="str">
        <x:v>Privacy, legal and sectoral applicability review</x:v>
      </x:c>
      <x:c r="D344" s="16" t="str">
        <x:v>Record which jurisdictions, sectors, contracts and data types make regulatory checklists applicable.</x:v>
      </x:c>
      <x:c r="E344" s="16" t="str">
        <x:v>An accountable owner/reviewer confirms the control using current artifacts or reproducible test steps; exceptions have rationale, approver, compensating control and expiry. Control objective: Record which jurisdictions, sectors, contracts and data types make regulatory checklists applicable.</x:v>
      </x:c>
      <x:c r="F344" s="16" t="str">
        <x:v>Approved policy/process, responsible owner, sample records, review cadence and exceptions log.</x:v>
      </x:c>
      <x:c r="G344" s="16" t="str">
        <x:v>interview_or_evidence</x:v>
      </x:c>
      <x:c r="H344" s="16" t="str">
        <x:v>P1</x:v>
      </x:c>
      <x:c r="I344" s="16" t="str">
        <x:v>conditional</x:v>
      </x:c>
      <x:c r="J344" s="16" t="str">
        <x:v>conditional; supporting | conditional; supporting</x:v>
      </x:c>
      <x:c r="K344" s="16" t="str">
        <x:v>GDPR; NIS2; DORA; PCI_DSS; HIPAA; SOC2; ISO27701; NIST_PRIVACY; NIST_800_53</x:v>
      </x:c>
      <x:c r="L344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44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44" s="16" t="str">
        <x:v>not_assessed</x:v>
      </x:c>
      <x:c r="O344" s="16" t="str"/>
      <x:c r="P344" s="18" t="str"/>
      <x:c r="Q344" s="16" t="str"/>
      <x:c r="R344" s="16" t="str"/>
      <x:c r="S344" s="16" t="str"/>
      <x:c r="T344" s="18" t="str"/>
      <x:c r="U344" s="16" t="str"/>
      <x:c r="V344" s="16" t="n">
        <x:v>0</x:v>
      </x:c>
    </x:row>
    <x:row r="345">
      <x:c r="A345" s="16" t="str">
        <x:v>FWPRO-PRIVREG-002</x:v>
      </x:c>
      <x:c r="B345" s="16" t="str">
        <x:v>PRIVREG</x:v>
      </x:c>
      <x:c r="C345" s="16" t="str">
        <x:v>Privacy, legal and sectoral applicability review</x:v>
      </x:c>
      <x:c r="D345" s="16" t="str">
        <x:v>Document controller/processor roles and data-processing terms where GDPR or equivalent privacy law applies.</x:v>
      </x:c>
      <x:c r="E345" s="16" t="str">
        <x:v>An accountable owner/reviewer confirms the control using current artifacts or reproducible test steps; exceptions have rationale, approver, compensating control and expiry. Control objective: Document controller/processor roles and data-processing terms where GDPR or equivalent privacy law applies.</x:v>
      </x:c>
      <x:c r="F345" s="16" t="str">
        <x:v>Approved policy/process, responsible owner, sample records, review cadence and exceptions log.</x:v>
      </x:c>
      <x:c r="G345" s="16" t="str">
        <x:v>interview_or_evidence</x:v>
      </x:c>
      <x:c r="H345" s="16" t="str">
        <x:v>P1</x:v>
      </x:c>
      <x:c r="I345" s="16" t="str">
        <x:v>conditional</x:v>
      </x:c>
      <x:c r="J345" s="16" t="str">
        <x:v>conditional; supporting | conditional; supporting</x:v>
      </x:c>
      <x:c r="K345" s="16" t="str">
        <x:v>GDPR; NIS2; DORA; PCI_DSS; HIPAA; SOC2; ISO27701; NIST_PRIVACY; NIST_800_53</x:v>
      </x:c>
      <x:c r="L345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45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45" s="16" t="str">
        <x:v>not_assessed</x:v>
      </x:c>
      <x:c r="O345" s="16" t="str"/>
      <x:c r="P345" s="18" t="str"/>
      <x:c r="Q345" s="16" t="str"/>
      <x:c r="R345" s="16" t="str"/>
      <x:c r="S345" s="16" t="str"/>
      <x:c r="T345" s="18" t="str"/>
      <x:c r="U345" s="16" t="str"/>
      <x:c r="V345" s="16" t="n">
        <x:v>0</x:v>
      </x:c>
    </x:row>
    <x:row r="346">
      <x:c r="A346" s="16" t="str">
        <x:v>FWPRO-PRIVREG-003</x:v>
      </x:c>
      <x:c r="B346" s="16" t="str">
        <x:v>PRIVREG</x:v>
      </x:c>
      <x:c r="C346" s="16" t="str">
        <x:v>Privacy, legal and sectoral applicability review</x:v>
      </x:c>
      <x:c r="D346" s="16" t="str">
        <x:v>Assess whether a data protection impact assessment is required for the processing context.</x:v>
      </x:c>
      <x:c r="E346" s="16" t="str">
        <x:v>An accountable owner/reviewer confirms the control using current artifacts or reproducible test steps; exceptions have rationale, approver, compensating control and expiry. Control objective: Assess whether a data protection impact assessment is required for the processing context.</x:v>
      </x:c>
      <x:c r="F346" s="16" t="str">
        <x:v>Approved policy/process, responsible owner, sample records, review cadence and exceptions log.</x:v>
      </x:c>
      <x:c r="G346" s="16" t="str">
        <x:v>interview_or_evidence</x:v>
      </x:c>
      <x:c r="H346" s="16" t="str">
        <x:v>P1</x:v>
      </x:c>
      <x:c r="I346" s="16" t="str">
        <x:v>conditional</x:v>
      </x:c>
      <x:c r="J346" s="16" t="str">
        <x:v>conditional; supporting | conditional; supporting</x:v>
      </x:c>
      <x:c r="K346" s="16" t="str">
        <x:v>GDPR; NIS2; DORA; PCI_DSS; HIPAA; SOC2; ISO27701; NIST_PRIVACY; NIST_800_53</x:v>
      </x:c>
      <x:c r="L346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46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46" s="16" t="str">
        <x:v>not_assessed</x:v>
      </x:c>
      <x:c r="O346" s="16" t="str"/>
      <x:c r="P346" s="18" t="str"/>
      <x:c r="Q346" s="16" t="str"/>
      <x:c r="R346" s="16" t="str"/>
      <x:c r="S346" s="16" t="str"/>
      <x:c r="T346" s="18" t="str"/>
      <x:c r="U346" s="16" t="str"/>
      <x:c r="V346" s="16" t="n">
        <x:v>0</x:v>
      </x:c>
    </x:row>
    <x:row r="347">
      <x:c r="A347" s="16" t="str">
        <x:v>FWPRO-PRIVREG-004</x:v>
      </x:c>
      <x:c r="B347" s="16" t="str">
        <x:v>PRIVREG</x:v>
      </x:c>
      <x:c r="C347" s="16" t="str">
        <x:v>Privacy, legal and sectoral applicability review</x:v>
      </x:c>
      <x:c r="D347" s="16" t="str">
        <x:v>Map personal-data incident workflows to notification duties and applicable timelines through legal review.</x:v>
      </x:c>
      <x:c r="E347" s="16" t="str">
        <x:v>An accountable owner/reviewer confirms the control using current artifacts or reproducible test steps; exceptions have rationale, approver, compensating control and expiry. Control objective: Map personal-data incident workflows to notification duties and applicable timelines through legal review.</x:v>
      </x:c>
      <x:c r="F347" s="16" t="str">
        <x:v>Approved policy/process, responsible owner, sample records, review cadence and exceptions log.</x:v>
      </x:c>
      <x:c r="G347" s="16" t="str">
        <x:v>interview_or_evidence</x:v>
      </x:c>
      <x:c r="H347" s="16" t="str">
        <x:v>P1</x:v>
      </x:c>
      <x:c r="I347" s="16" t="str">
        <x:v>conditional</x:v>
      </x:c>
      <x:c r="J347" s="16" t="str">
        <x:v>conditional; supporting | conditional; supporting</x:v>
      </x:c>
      <x:c r="K347" s="16" t="str">
        <x:v>GDPR; NIS2; DORA; PCI_DSS; HIPAA; SOC2; ISO27701; NIST_PRIVACY; NIST_800_53</x:v>
      </x:c>
      <x:c r="L347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47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47" s="16" t="str">
        <x:v>not_assessed</x:v>
      </x:c>
      <x:c r="O347" s="16" t="str"/>
      <x:c r="P347" s="18" t="str"/>
      <x:c r="Q347" s="16" t="str"/>
      <x:c r="R347" s="16" t="str"/>
      <x:c r="S347" s="16" t="str"/>
      <x:c r="T347" s="18" t="str"/>
      <x:c r="U347" s="16" t="str"/>
      <x:c r="V347" s="16" t="n">
        <x:v>0</x:v>
      </x:c>
    </x:row>
    <x:row r="348">
      <x:c r="A348" s="16" t="str">
        <x:v>FWPRO-PRIVREG-005</x:v>
      </x:c>
      <x:c r="B348" s="16" t="str">
        <x:v>PRIVREG</x:v>
      </x:c>
      <x:c r="C348" s="16" t="str">
        <x:v>Privacy, legal and sectoral applicability review</x:v>
      </x:c>
      <x:c r="D348" s="16" t="str">
        <x:v>For PCI DSS scope, document cardholder-data flows, connected systems and segmentation evidence.</x:v>
      </x:c>
      <x:c r="E348" s="16" t="str">
        <x:v>An accountable owner/reviewer confirms the control using current artifacts or reproducible test steps; exceptions have rationale, approver, compensating control and expiry. Control objective: For PCI DSS scope, document cardholder-data flows, connected systems and segmentation evidence.</x:v>
      </x:c>
      <x:c r="F348" s="16" t="str">
        <x:v>Approved policy/process, responsible owner, sample records, review cadence and exceptions log.</x:v>
      </x:c>
      <x:c r="G348" s="16" t="str">
        <x:v>interview_or_evidence</x:v>
      </x:c>
      <x:c r="H348" s="16" t="str">
        <x:v>P1</x:v>
      </x:c>
      <x:c r="I348" s="16" t="str">
        <x:v>conditional</x:v>
      </x:c>
      <x:c r="J348" s="16" t="str">
        <x:v>conditional; supporting | conditional; supporting</x:v>
      </x:c>
      <x:c r="K348" s="16" t="str">
        <x:v>GDPR; NIS2; DORA; PCI_DSS; HIPAA; SOC2; ISO27701; NIST_PRIVACY; NIST_800_53</x:v>
      </x:c>
      <x:c r="L348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48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48" s="16" t="str">
        <x:v>not_assessed</x:v>
      </x:c>
      <x:c r="O348" s="16" t="str"/>
      <x:c r="P348" s="18" t="str"/>
      <x:c r="Q348" s="16" t="str"/>
      <x:c r="R348" s="16" t="str"/>
      <x:c r="S348" s="16" t="str"/>
      <x:c r="T348" s="18" t="str"/>
      <x:c r="U348" s="16" t="str"/>
      <x:c r="V348" s="16" t="n">
        <x:v>0</x:v>
      </x:c>
    </x:row>
    <x:row r="349">
      <x:c r="A349" s="16" t="str">
        <x:v>FWPRO-PRIVREG-006</x:v>
      </x:c>
      <x:c r="B349" s="16" t="str">
        <x:v>PRIVREG</x:v>
      </x:c>
      <x:c r="C349" s="16" t="str">
        <x:v>Privacy, legal and sectoral applicability review</x:v>
      </x:c>
      <x:c r="D349" s="16" t="str">
        <x:v>For PCI DSS engagements, use required approved scanning/testing methods and qualified assessors where applicable.</x:v>
      </x:c>
      <x:c r="E349" s="16" t="str">
        <x:v>An accountable owner/reviewer confirms the control using current artifacts or reproducible test steps; exceptions have rationale, approver, compensating control and expiry. Control objective: For PCI DSS engagements, use required approved scanning/testing methods and qualified assessors where applicable.</x:v>
      </x:c>
      <x:c r="F349" s="16" t="str">
        <x:v>Approved policy/process, responsible owner, sample records, review cadence and exceptions log.</x:v>
      </x:c>
      <x:c r="G349" s="16" t="str">
        <x:v>interview_or_evidence</x:v>
      </x:c>
      <x:c r="H349" s="16" t="str">
        <x:v>P1</x:v>
      </x:c>
      <x:c r="I349" s="16" t="str">
        <x:v>conditional</x:v>
      </x:c>
      <x:c r="J349" s="16" t="str">
        <x:v>conditional; supporting | conditional; supporting</x:v>
      </x:c>
      <x:c r="K349" s="16" t="str">
        <x:v>GDPR; NIS2; DORA; PCI_DSS; HIPAA; SOC2; ISO27701; NIST_PRIVACY; NIST_800_53</x:v>
      </x:c>
      <x:c r="L349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49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49" s="16" t="str">
        <x:v>not_assessed</x:v>
      </x:c>
      <x:c r="O349" s="16" t="str"/>
      <x:c r="P349" s="18" t="str"/>
      <x:c r="Q349" s="16" t="str"/>
      <x:c r="R349" s="16" t="str"/>
      <x:c r="S349" s="16" t="str"/>
      <x:c r="T349" s="18" t="str"/>
      <x:c r="U349" s="16" t="str"/>
      <x:c r="V349" s="16" t="n">
        <x:v>0</x:v>
      </x:c>
    </x:row>
    <x:row r="350">
      <x:c r="A350" s="16" t="str">
        <x:v>FWPRO-PRIVREG-007</x:v>
      </x:c>
      <x:c r="B350" s="16" t="str">
        <x:v>PRIVREG</x:v>
      </x:c>
      <x:c r="C350" s="16" t="str">
        <x:v>Privacy, legal and sectoral applicability review</x:v>
      </x:c>
      <x:c r="D350" s="16" t="str">
        <x:v>For HIPAA scope, maintain risk analysis, access controls, audit controls and contingency evidence for ePHI.</x:v>
      </x:c>
      <x:c r="E350" s="16" t="str">
        <x:v>An accountable owner/reviewer confirms the control using current artifacts or reproducible test steps; exceptions have rationale, approver, compensating control and expiry. Control objective: For HIPAA scope, maintain risk analysis, access controls, audit controls and contingency evidence for ePHI.</x:v>
      </x:c>
      <x:c r="F350" s="16" t="str">
        <x:v>Approved policy/process, responsible owner, sample records, review cadence and exceptions log.</x:v>
      </x:c>
      <x:c r="G350" s="16" t="str">
        <x:v>interview_or_evidence</x:v>
      </x:c>
      <x:c r="H350" s="16" t="str">
        <x:v>P1</x:v>
      </x:c>
      <x:c r="I350" s="16" t="str">
        <x:v>conditional</x:v>
      </x:c>
      <x:c r="J350" s="16" t="str">
        <x:v>conditional; supporting | conditional; supporting</x:v>
      </x:c>
      <x:c r="K350" s="16" t="str">
        <x:v>GDPR; NIS2; DORA; PCI_DSS; HIPAA; SOC2; ISO27701; NIST_PRIVACY; NIST_800_53</x:v>
      </x:c>
      <x:c r="L350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50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50" s="16" t="str">
        <x:v>not_assessed</x:v>
      </x:c>
      <x:c r="O350" s="16" t="str"/>
      <x:c r="P350" s="18" t="str"/>
      <x:c r="Q350" s="16" t="str"/>
      <x:c r="R350" s="16" t="str"/>
      <x:c r="S350" s="16" t="str"/>
      <x:c r="T350" s="18" t="str"/>
      <x:c r="U350" s="16" t="str"/>
      <x:c r="V350" s="16" t="n">
        <x:v>0</x:v>
      </x:c>
    </x:row>
    <x:row r="351">
      <x:c r="A351" s="16" t="str">
        <x:v>FWPRO-PRIVREG-008</x:v>
      </x:c>
      <x:c r="B351" s="16" t="str">
        <x:v>PRIVREG</x:v>
      </x:c>
      <x:c r="C351" s="16" t="str">
        <x:v>Privacy, legal and sectoral applicability review</x:v>
      </x:c>
      <x:c r="D351" s="16" t="str">
        <x:v>For SOC 2, map controls to the applicable current AICPA Trust Services Criteria with the auditor.</x:v>
      </x:c>
      <x:c r="E351" s="16" t="str">
        <x:v>An accountable owner/reviewer confirms the control using current artifacts or reproducible test steps; exceptions have rationale, approver, compensating control and expiry. Control objective: For SOC 2, map controls to the applicable current AICPA Trust Services Criteria with the auditor.</x:v>
      </x:c>
      <x:c r="F351" s="16" t="str">
        <x:v>Approved policy/process, responsible owner, sample records, review cadence and exceptions log.</x:v>
      </x:c>
      <x:c r="G351" s="16" t="str">
        <x:v>interview_or_evidence</x:v>
      </x:c>
      <x:c r="H351" s="16" t="str">
        <x:v>P1</x:v>
      </x:c>
      <x:c r="I351" s="16" t="str">
        <x:v>conditional</x:v>
      </x:c>
      <x:c r="J351" s="16" t="str">
        <x:v>conditional; supporting | conditional; supporting</x:v>
      </x:c>
      <x:c r="K351" s="16" t="str">
        <x:v>GDPR; NIS2; DORA; PCI_DSS; HIPAA; SOC2; ISO27701; NIST_PRIVACY; NIST_800_53</x:v>
      </x:c>
      <x:c r="L351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51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51" s="16" t="str">
        <x:v>not_assessed</x:v>
      </x:c>
      <x:c r="O351" s="16" t="str"/>
      <x:c r="P351" s="18" t="str"/>
      <x:c r="Q351" s="16" t="str"/>
      <x:c r="R351" s="16" t="str"/>
      <x:c r="S351" s="16" t="str"/>
      <x:c r="T351" s="18" t="str"/>
      <x:c r="U351" s="16" t="str"/>
      <x:c r="V351" s="16" t="n">
        <x:v>0</x:v>
      </x:c>
    </x:row>
    <x:row r="352">
      <x:c r="A352" s="16" t="str">
        <x:v>FWPRO-PRIVREG-009</x:v>
      </x:c>
      <x:c r="B352" s="16" t="str">
        <x:v>PRIVREG</x:v>
      </x:c>
      <x:c r="C352" s="16" t="str">
        <x:v>Privacy, legal and sectoral applicability review</x:v>
      </x:c>
      <x:c r="D352" s="16" t="str">
        <x:v>For NIS2/DORA scope, verify entity classification, national law, sector rules and reporting obligations with counsel.</x:v>
      </x:c>
      <x:c r="E352" s="16" t="str">
        <x:v>An accountable owner/reviewer confirms the control using current artifacts or reproducible test steps; exceptions have rationale, approver, compensating control and expiry. Control objective: For NIS2/DORA scope, verify entity classification, national law, sector rules and reporting obligations with counsel.</x:v>
      </x:c>
      <x:c r="F352" s="16" t="str">
        <x:v>Approved policy/process, responsible owner, sample records, review cadence and exceptions log.</x:v>
      </x:c>
      <x:c r="G352" s="16" t="str">
        <x:v>interview_or_evidence</x:v>
      </x:c>
      <x:c r="H352" s="16" t="str">
        <x:v>P1</x:v>
      </x:c>
      <x:c r="I352" s="16" t="str">
        <x:v>conditional</x:v>
      </x:c>
      <x:c r="J352" s="16" t="str">
        <x:v>conditional; supporting | conditional; supporting</x:v>
      </x:c>
      <x:c r="K352" s="16" t="str">
        <x:v>GDPR; NIS2; DORA; PCI_DSS; HIPAA; SOC2; ISO27701; NIST_PRIVACY; NIST_800_53</x:v>
      </x:c>
      <x:c r="L352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52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52" s="16" t="str">
        <x:v>not_assessed</x:v>
      </x:c>
      <x:c r="O352" s="16" t="str"/>
      <x:c r="P352" s="18" t="str"/>
      <x:c r="Q352" s="16" t="str"/>
      <x:c r="R352" s="16" t="str"/>
      <x:c r="S352" s="16" t="str"/>
      <x:c r="T352" s="18" t="str"/>
      <x:c r="U352" s="16" t="str"/>
      <x:c r="V352" s="16" t="n">
        <x:v>0</x:v>
      </x:c>
    </x:row>
    <x:row r="353">
      <x:c r="A353" s="16" t="str">
        <x:v>FWPRO-PRIVREG-010</x:v>
      </x:c>
      <x:c r="B353" s="16" t="str">
        <x:v>PRIVREG</x:v>
      </x:c>
      <x:c r="C353" s="16" t="str">
        <x:v>Privacy, legal and sectoral applicability review</x:v>
      </x:c>
      <x:c r="D353" s="16" t="str">
        <x:v>For cloud contracts, document shared responsibilities, subprocessors, regions and audit/evidence rights.</x:v>
      </x:c>
      <x:c r="E353" s="16" t="str">
        <x:v>An accountable owner/reviewer confirms the control using current artifacts or reproducible test steps; exceptions have rationale, approver, compensating control and expiry. Control objective: For cloud contracts, document shared responsibilities, subprocessors, regions and audit/evidence rights.</x:v>
      </x:c>
      <x:c r="F353" s="16" t="str">
        <x:v>Approved policy/process, responsible owner, sample records, review cadence and exceptions log.</x:v>
      </x:c>
      <x:c r="G353" s="16" t="str">
        <x:v>interview_or_evidence</x:v>
      </x:c>
      <x:c r="H353" s="16" t="str">
        <x:v>P1</x:v>
      </x:c>
      <x:c r="I353" s="16" t="str">
        <x:v>conditional</x:v>
      </x:c>
      <x:c r="J353" s="16" t="str">
        <x:v>conditional; supporting | conditional; supporting</x:v>
      </x:c>
      <x:c r="K353" s="16" t="str">
        <x:v>GDPR; NIS2; DORA; PCI_DSS; HIPAA; SOC2; ISO27701; NIST_PRIVACY; NIST_800_53</x:v>
      </x:c>
      <x:c r="L353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53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53" s="16" t="str">
        <x:v>not_assessed</x:v>
      </x:c>
      <x:c r="O353" s="16" t="str"/>
      <x:c r="P353" s="18" t="str"/>
      <x:c r="Q353" s="16" t="str"/>
      <x:c r="R353" s="16" t="str"/>
      <x:c r="S353" s="16" t="str"/>
      <x:c r="T353" s="18" t="str"/>
      <x:c r="U353" s="16" t="str"/>
      <x:c r="V353" s="16" t="n">
        <x:v>0</x:v>
      </x:c>
    </x:row>
    <x:row r="354">
      <x:c r="A354" s="16" t="str">
        <x:v>FWPRO-PRIVREG-011</x:v>
      </x:c>
      <x:c r="B354" s="16" t="str">
        <x:v>PRIVREG</x:v>
      </x:c>
      <x:c r="C354" s="16" t="str">
        <x:v>Privacy, legal and sectoral applicability review</x:v>
      </x:c>
      <x:c r="D354" s="16" t="str">
        <x:v>Do not claim GDPR, PCI, SOC 2, HIPAA, NIS2, DORA or ISO certification from scanner results alone.</x:v>
      </x:c>
      <x:c r="E354" s="16" t="str">
        <x:v>An accountable owner/reviewer confirms the control using current artifacts or reproducible test steps; exceptions have rationale, approver, compensating control and expiry. Control objective: Do not claim GDPR, PCI, SOC 2, HIPAA, NIS2, DORA or ISO certification from scanner results alone.</x:v>
      </x:c>
      <x:c r="F354" s="16" t="str">
        <x:v>Approved policy/process, responsible owner, sample records, review cadence and exceptions log.</x:v>
      </x:c>
      <x:c r="G354" s="16" t="str">
        <x:v>interview_or_evidence</x:v>
      </x:c>
      <x:c r="H354" s="16" t="str">
        <x:v>P1</x:v>
      </x:c>
      <x:c r="I354" s="16" t="str">
        <x:v>conditional</x:v>
      </x:c>
      <x:c r="J354" s="16" t="str">
        <x:v>conditional; supporting | conditional; supporting</x:v>
      </x:c>
      <x:c r="K354" s="16" t="str">
        <x:v>GDPR; NIS2; DORA; PCI_DSS; HIPAA; SOC2; ISO27701; NIST_PRIVACY; NIST_800_53</x:v>
      </x:c>
      <x:c r="L354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54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54" s="16" t="str">
        <x:v>not_assessed</x:v>
      </x:c>
      <x:c r="O354" s="16" t="str"/>
      <x:c r="P354" s="18" t="str"/>
      <x:c r="Q354" s="16" t="str"/>
      <x:c r="R354" s="16" t="str"/>
      <x:c r="S354" s="16" t="str"/>
      <x:c r="T354" s="18" t="str"/>
      <x:c r="U354" s="16" t="str"/>
      <x:c r="V354" s="16" t="n">
        <x:v>0</x:v>
      </x:c>
    </x:row>
    <x:row r="355">
      <x:c r="A355" s="16" t="str">
        <x:v>FWPRO-PRIVREG-012</x:v>
      </x:c>
      <x:c r="B355" s="16" t="str">
        <x:v>PRIVREG</x:v>
      </x:c>
      <x:c r="C355" s="16" t="str">
        <x:v>Privacy, legal and sectoral applicability review</x:v>
      </x:c>
      <x:c r="D355" s="16" t="str">
        <x:v>Keep legal interpretations, applicability determinations and compliance sign-off owned by qualified personnel.</x:v>
      </x:c>
      <x:c r="E355" s="16" t="str">
        <x:v>An accountable owner/reviewer confirms the control using current artifacts or reproducible test steps; exceptions have rationale, approver, compensating control and expiry. Control objective: Keep legal interpretations, applicability determinations and compliance sign-off owned by qualified personnel.</x:v>
      </x:c>
      <x:c r="F355" s="16" t="str">
        <x:v>Approved policy/process, responsible owner, sample records, review cadence and exceptions log.</x:v>
      </x:c>
      <x:c r="G355" s="16" t="str">
        <x:v>interview_or_evidence</x:v>
      </x:c>
      <x:c r="H355" s="16" t="str">
        <x:v>P1</x:v>
      </x:c>
      <x:c r="I355" s="16" t="str">
        <x:v>conditional</x:v>
      </x:c>
      <x:c r="J355" s="16" t="str">
        <x:v>conditional; supporting | conditional; supporting</x:v>
      </x:c>
      <x:c r="K355" s="16" t="str">
        <x:v>GDPR; NIS2; DORA; PCI_DSS; HIPAA; SOC2; ISO27701; NIST_PRIVACY; NIST_800_53</x:v>
      </x:c>
      <x:c r="L355" s="16" t="str">
        <x:v>EU General Data Protection Regulation (Regulation (EU) 2016/679, as applicable/current consolidated text); EU NIS2 Directive (Directive (EU) 2022/2555; national transposition applies); EU Digital Operational Resilience Act (Regulation (EU) 2022/2554); PCI DSS (v4.0.1); HIPAA Security Rule (Current U.S. HHS rule and guidance); AICPA Trust Services Criteria / SOC 2 (Current licensed criteria; verify with AICPA); ISO/IEC 27701 Privacy Information Management (2025 edition); NIST Privacy Framework (1.0); NIST SP 800-53 Security and Privacy Controls (Rev. 5 + current errata)</x:v>
      </x:c>
      <x:c r="M355" s="16" t="str">
        <x:v>https://eur-lex.europa.eu/eli/reg/2016/679/oj; https://eur-lex.europa.eu/eli/dir/2022/2555/oj; https://eur-lex.europa.eu/eli/reg/2022/2554/oj; https://www.pcisecuritystandards.org/document_library/; https://www.hhs.gov/hipaa/for-professionals/security/index.html; https://www.aicpa-cima.com/resources/landing/system-and-organization-controls-soc-suite-of-services; https://www.iso.org/standard/27701; https://www.nist.gov/privacy-framework; https://csrc.nist.gov/pubs/sp/800/53/r5/upd1/final</x:v>
      </x:c>
      <x:c r="N355" s="16" t="str">
        <x:v>not_assessed</x:v>
      </x:c>
      <x:c r="O355" s="16" t="str"/>
      <x:c r="P355" s="18" t="str"/>
      <x:c r="Q355" s="16" t="str"/>
      <x:c r="R355" s="16" t="str"/>
      <x:c r="S355" s="16" t="str"/>
      <x:c r="T355" s="18" t="str"/>
      <x:c r="U355" s="16" t="str"/>
      <x:c r="V355" s="16" t="n">
        <x:v>0</x:v>
      </x:c>
    </x:row>
    <x:row r="356">
      <x:c r="A356" s="16" t="str">
        <x:v>FWPRO-ACCESS-001</x:v>
      </x:c>
      <x:c r="B356" s="16" t="str">
        <x:v>ACCESS</x:v>
      </x:c>
      <x:c r="C356" s="16" t="str">
        <x:v>Accessibility and inclusive product interface</x:v>
      </x:c>
      <x:c r="D356" s="16" t="str">
        <x:v>Provide keyboard access to all interactive controls without keyboard traps.</x:v>
      </x:c>
      <x:c r="E356" s="16" t="str">
        <x:v>Run only with the documented prerequisites, approved scope and suitable specialist method; record method, version, limitations and reviewer disposition. Control objective: Provide keyboard access to all interactive controls without keyboard traps.</x:v>
      </x:c>
      <x:c r="F356" s="16" t="str">
        <x:v>Automated scan result plus manual keyboard/screen-reader verification evidence.</x:v>
      </x:c>
      <x:c r="G356" s="16" t="str">
        <x:v>automated_plus_manual</x:v>
      </x:c>
      <x:c r="H356" s="16" t="str">
        <x:v>P2</x:v>
      </x:c>
      <x:c r="I356" s="16" t="str">
        <x:v>adjacent</x:v>
      </x:c>
      <x:c r="J356" s="16" t="str">
        <x:v>adjacent; conditional; supporting | adjacent; conditional; supporting</x:v>
      </x:c>
      <x:c r="K356" s="16" t="str">
        <x:v>WCAG22; EN301549; NIST_CSF</x:v>
      </x:c>
      <x:c r="L356" s="16" t="str">
        <x:v>W3C Web Content Accessibility Guidelines (2.2 W3C Recommendation); ETSI EN 301 549 accessibility requirements for ICT (Use current applicable edition); NIST Cybersecurity Framework (2.0)</x:v>
      </x:c>
      <x:c r="M356" s="16" t="str">
        <x:v>https://www.w3.org/TR/WCAG22/; https://www.etsi.org/standards; https://www.nist.gov/cyberframework</x:v>
      </x:c>
      <x:c r="N356" s="16" t="str">
        <x:v>not_assessed</x:v>
      </x:c>
      <x:c r="O356" s="16" t="str"/>
      <x:c r="P356" s="18" t="str"/>
      <x:c r="Q356" s="16" t="str"/>
      <x:c r="R356" s="16" t="str"/>
      <x:c r="S356" s="16" t="str"/>
      <x:c r="T356" s="18" t="str"/>
      <x:c r="U356" s="16" t="str"/>
      <x:c r="V356" s="16" t="n">
        <x:v>0</x:v>
      </x:c>
    </x:row>
    <x:row r="357">
      <x:c r="A357" s="16" t="str">
        <x:v>FWPRO-ACCESS-002</x:v>
      </x:c>
      <x:c r="B357" s="16" t="str">
        <x:v>ACCESS</x:v>
      </x:c>
      <x:c r="C357" s="16" t="str">
        <x:v>Accessibility and inclusive product interface</x:v>
      </x:c>
      <x:c r="D357" s="16" t="str">
        <x:v>Maintain visible focus indicators and logical focus order.</x:v>
      </x:c>
      <x:c r="E357" s="16" t="str">
        <x:v>Run only with the documented prerequisites, approved scope and suitable specialist method; record method, version, limitations and reviewer disposition. Control objective: Maintain visible focus indicators and logical focus order.</x:v>
      </x:c>
      <x:c r="F357" s="16" t="str">
        <x:v>Automated scan result plus manual keyboard/screen-reader verification evidence.</x:v>
      </x:c>
      <x:c r="G357" s="16" t="str">
        <x:v>automated_plus_manual</x:v>
      </x:c>
      <x:c r="H357" s="16" t="str">
        <x:v>P2</x:v>
      </x:c>
      <x:c r="I357" s="16" t="str">
        <x:v>adjacent</x:v>
      </x:c>
      <x:c r="J357" s="16" t="str">
        <x:v>adjacent; conditional; supporting | adjacent; conditional; supporting</x:v>
      </x:c>
      <x:c r="K357" s="16" t="str">
        <x:v>WCAG22; EN301549; NIST_CSF</x:v>
      </x:c>
      <x:c r="L357" s="16" t="str">
        <x:v>W3C Web Content Accessibility Guidelines (2.2 W3C Recommendation); ETSI EN 301 549 accessibility requirements for ICT (Use current applicable edition); NIST Cybersecurity Framework (2.0)</x:v>
      </x:c>
      <x:c r="M357" s="16" t="str">
        <x:v>https://www.w3.org/TR/WCAG22/; https://www.etsi.org/standards; https://www.nist.gov/cyberframework</x:v>
      </x:c>
      <x:c r="N357" s="16" t="str">
        <x:v>not_assessed</x:v>
      </x:c>
      <x:c r="O357" s="16" t="str"/>
      <x:c r="P357" s="18" t="str"/>
      <x:c r="Q357" s="16" t="str"/>
      <x:c r="R357" s="16" t="str"/>
      <x:c r="S357" s="16" t="str"/>
      <x:c r="T357" s="18" t="str"/>
      <x:c r="U357" s="16" t="str"/>
      <x:c r="V357" s="16" t="n">
        <x:v>0</x:v>
      </x:c>
    </x:row>
    <x:row r="358">
      <x:c r="A358" s="16" t="str">
        <x:v>FWPRO-ACCESS-003</x:v>
      </x:c>
      <x:c r="B358" s="16" t="str">
        <x:v>ACCESS</x:v>
      </x:c>
      <x:c r="C358" s="16" t="str">
        <x:v>Accessibility and inclusive product interface</x:v>
      </x:c>
      <x:c r="D358" s="16" t="str">
        <x:v>Associate form labels, descriptions and error messages programmatically with controls.</x:v>
      </x:c>
      <x:c r="E358" s="16" t="str">
        <x:v>Run only with the documented prerequisites, approved scope and suitable specialist method; record method, version, limitations and reviewer disposition. Control objective: Associate form labels, descriptions and error messages programmatically with controls.</x:v>
      </x:c>
      <x:c r="F358" s="16" t="str">
        <x:v>Automated scan result plus manual keyboard/screen-reader verification evidence.</x:v>
      </x:c>
      <x:c r="G358" s="16" t="str">
        <x:v>automated_plus_manual</x:v>
      </x:c>
      <x:c r="H358" s="16" t="str">
        <x:v>P2</x:v>
      </x:c>
      <x:c r="I358" s="16" t="str">
        <x:v>adjacent</x:v>
      </x:c>
      <x:c r="J358" s="16" t="str">
        <x:v>adjacent; conditional; supporting | adjacent; conditional; supporting</x:v>
      </x:c>
      <x:c r="K358" s="16" t="str">
        <x:v>WCAG22; EN301549; NIST_CSF</x:v>
      </x:c>
      <x:c r="L358" s="16" t="str">
        <x:v>W3C Web Content Accessibility Guidelines (2.2 W3C Recommendation); ETSI EN 301 549 accessibility requirements for ICT (Use current applicable edition); NIST Cybersecurity Framework (2.0)</x:v>
      </x:c>
      <x:c r="M358" s="16" t="str">
        <x:v>https://www.w3.org/TR/WCAG22/; https://www.etsi.org/standards; https://www.nist.gov/cyberframework</x:v>
      </x:c>
      <x:c r="N358" s="16" t="str">
        <x:v>not_assessed</x:v>
      </x:c>
      <x:c r="O358" s="16" t="str"/>
      <x:c r="P358" s="18" t="str"/>
      <x:c r="Q358" s="16" t="str"/>
      <x:c r="R358" s="16" t="str"/>
      <x:c r="S358" s="16" t="str"/>
      <x:c r="T358" s="18" t="str"/>
      <x:c r="U358" s="16" t="str"/>
      <x:c r="V358" s="16" t="n">
        <x:v>0</x:v>
      </x:c>
    </x:row>
    <x:row r="359">
      <x:c r="A359" s="16" t="str">
        <x:v>FWPRO-ACCESS-004</x:v>
      </x:c>
      <x:c r="B359" s="16" t="str">
        <x:v>ACCESS</x:v>
      </x:c>
      <x:c r="C359" s="16" t="str">
        <x:v>Accessibility and inclusive product interface</x:v>
      </x:c>
      <x:c r="D359" s="16" t="str">
        <x:v>Provide sufficient text and non-text contrast under the target WCAG conformance level.</x:v>
      </x:c>
      <x:c r="E359" s="16" t="str">
        <x:v>Run only with the documented prerequisites, approved scope and suitable specialist method; record method, version, limitations and reviewer disposition. Control objective: Provide sufficient text and non-text contrast under the target WCAG conformance level.</x:v>
      </x:c>
      <x:c r="F359" s="16" t="str">
        <x:v>Automated scan result plus manual keyboard/screen-reader verification evidence.</x:v>
      </x:c>
      <x:c r="G359" s="16" t="str">
        <x:v>automated_plus_manual</x:v>
      </x:c>
      <x:c r="H359" s="16" t="str">
        <x:v>P2</x:v>
      </x:c>
      <x:c r="I359" s="16" t="str">
        <x:v>adjacent</x:v>
      </x:c>
      <x:c r="J359" s="16" t="str">
        <x:v>adjacent; conditional; supporting | adjacent; conditional; supporting</x:v>
      </x:c>
      <x:c r="K359" s="16" t="str">
        <x:v>WCAG22; EN301549; NIST_CSF</x:v>
      </x:c>
      <x:c r="L359" s="16" t="str">
        <x:v>W3C Web Content Accessibility Guidelines (2.2 W3C Recommendation); ETSI EN 301 549 accessibility requirements for ICT (Use current applicable edition); NIST Cybersecurity Framework (2.0)</x:v>
      </x:c>
      <x:c r="M359" s="16" t="str">
        <x:v>https://www.w3.org/TR/WCAG22/; https://www.etsi.org/standards; https://www.nist.gov/cyberframework</x:v>
      </x:c>
      <x:c r="N359" s="16" t="str">
        <x:v>not_assessed</x:v>
      </x:c>
      <x:c r="O359" s="16" t="str"/>
      <x:c r="P359" s="18" t="str"/>
      <x:c r="Q359" s="16" t="str"/>
      <x:c r="R359" s="16" t="str"/>
      <x:c r="S359" s="16" t="str"/>
      <x:c r="T359" s="18" t="str"/>
      <x:c r="U359" s="16" t="str"/>
      <x:c r="V359" s="16" t="n">
        <x:v>0</x:v>
      </x:c>
    </x:row>
    <x:row r="360">
      <x:c r="A360" s="16" t="str">
        <x:v>FWPRO-ACCESS-005</x:v>
      </x:c>
      <x:c r="B360" s="16" t="str">
        <x:v>ACCESS</x:v>
      </x:c>
      <x:c r="C360" s="16" t="str">
        <x:v>Accessibility and inclusive product interface</x:v>
      </x:c>
      <x:c r="D360" s="16" t="str">
        <x:v>Expose dynamic scan state, validation errors and status messages to assistive technologies.</x:v>
      </x:c>
      <x:c r="E360" s="16" t="str">
        <x:v>Run only with the documented prerequisites, approved scope and suitable specialist method; record method, version, limitations and reviewer disposition. Control objective: Expose dynamic scan state, validation errors and status messages to assistive technologies.</x:v>
      </x:c>
      <x:c r="F360" s="16" t="str">
        <x:v>Automated scan result plus manual keyboard/screen-reader verification evidence.</x:v>
      </x:c>
      <x:c r="G360" s="16" t="str">
        <x:v>automated_plus_manual</x:v>
      </x:c>
      <x:c r="H360" s="16" t="str">
        <x:v>P2</x:v>
      </x:c>
      <x:c r="I360" s="16" t="str">
        <x:v>adjacent</x:v>
      </x:c>
      <x:c r="J360" s="16" t="str">
        <x:v>adjacent; conditional; supporting | adjacent; conditional; supporting</x:v>
      </x:c>
      <x:c r="K360" s="16" t="str">
        <x:v>WCAG22; EN301549; NIST_CSF</x:v>
      </x:c>
      <x:c r="L360" s="16" t="str">
        <x:v>W3C Web Content Accessibility Guidelines (2.2 W3C Recommendation); ETSI EN 301 549 accessibility requirements for ICT (Use current applicable edition); NIST Cybersecurity Framework (2.0)</x:v>
      </x:c>
      <x:c r="M360" s="16" t="str">
        <x:v>https://www.w3.org/TR/WCAG22/; https://www.etsi.org/standards; https://www.nist.gov/cyberframework</x:v>
      </x:c>
      <x:c r="N360" s="16" t="str">
        <x:v>not_assessed</x:v>
      </x:c>
      <x:c r="O360" s="16" t="str"/>
      <x:c r="P360" s="18" t="str"/>
      <x:c r="Q360" s="16" t="str"/>
      <x:c r="R360" s="16" t="str"/>
      <x:c r="S360" s="16" t="str"/>
      <x:c r="T360" s="18" t="str"/>
      <x:c r="U360" s="16" t="str"/>
      <x:c r="V360" s="16" t="n">
        <x:v>0</x:v>
      </x:c>
    </x:row>
    <x:row r="361">
      <x:c r="A361" s="16" t="str">
        <x:v>FWPRO-ACCESS-006</x:v>
      </x:c>
      <x:c r="B361" s="16" t="str">
        <x:v>ACCESS</x:v>
      </x:c>
      <x:c r="C361" s="16" t="str">
        <x:v>Accessibility and inclusive product interface</x:v>
      </x:c>
      <x:c r="D361" s="16" t="str">
        <x:v>Avoid relying on color alone to convey severity, status or error state.</x:v>
      </x:c>
      <x:c r="E361" s="16" t="str">
        <x:v>Run only with the documented prerequisites, approved scope and suitable specialist method; record method, version, limitations and reviewer disposition. Control objective: Avoid relying on color alone to convey severity, status or error state.</x:v>
      </x:c>
      <x:c r="F361" s="16" t="str">
        <x:v>Automated scan result plus manual keyboard/screen-reader verification evidence.</x:v>
      </x:c>
      <x:c r="G361" s="16" t="str">
        <x:v>automated_plus_manual</x:v>
      </x:c>
      <x:c r="H361" s="16" t="str">
        <x:v>P2</x:v>
      </x:c>
      <x:c r="I361" s="16" t="str">
        <x:v>adjacent</x:v>
      </x:c>
      <x:c r="J361" s="16" t="str">
        <x:v>adjacent; conditional; supporting | adjacent; conditional; supporting</x:v>
      </x:c>
      <x:c r="K361" s="16" t="str">
        <x:v>WCAG22; EN301549; NIST_CSF</x:v>
      </x:c>
      <x:c r="L361" s="16" t="str">
        <x:v>W3C Web Content Accessibility Guidelines (2.2 W3C Recommendation); ETSI EN 301 549 accessibility requirements for ICT (Use current applicable edition); NIST Cybersecurity Framework (2.0)</x:v>
      </x:c>
      <x:c r="M361" s="16" t="str">
        <x:v>https://www.w3.org/TR/WCAG22/; https://www.etsi.org/standards; https://www.nist.gov/cyberframework</x:v>
      </x:c>
      <x:c r="N361" s="16" t="str">
        <x:v>not_assessed</x:v>
      </x:c>
      <x:c r="O361" s="16" t="str"/>
      <x:c r="P361" s="18" t="str"/>
      <x:c r="Q361" s="16" t="str"/>
      <x:c r="R361" s="16" t="str"/>
      <x:c r="S361" s="16" t="str"/>
      <x:c r="T361" s="18" t="str"/>
      <x:c r="U361" s="16" t="str"/>
      <x:c r="V361" s="16" t="n">
        <x:v>0</x:v>
      </x:c>
    </x:row>
    <x:row r="362">
      <x:c r="A362" s="16" t="str">
        <x:v>FWPRO-ACCESS-007</x:v>
      </x:c>
      <x:c r="B362" s="16" t="str">
        <x:v>ACCESS</x:v>
      </x:c>
      <x:c r="C362" s="16" t="str">
        <x:v>Accessibility and inclusive product interface</x:v>
      </x:c>
      <x:c r="D362" s="16" t="str">
        <x:v>Support zoom/reflow and responsive layouts without loss of critical functionality.</x:v>
      </x:c>
      <x:c r="E362" s="16" t="str">
        <x:v>Run only with the documented prerequisites, approved scope and suitable specialist method; record method, version, limitations and reviewer disposition. Control objective: Support zoom/reflow and responsive layouts without loss of critical functionality.</x:v>
      </x:c>
      <x:c r="F362" s="16" t="str">
        <x:v>Automated scan result plus manual keyboard/screen-reader verification evidence.</x:v>
      </x:c>
      <x:c r="G362" s="16" t="str">
        <x:v>automated_plus_manual</x:v>
      </x:c>
      <x:c r="H362" s="16" t="str">
        <x:v>P2</x:v>
      </x:c>
      <x:c r="I362" s="16" t="str">
        <x:v>adjacent</x:v>
      </x:c>
      <x:c r="J362" s="16" t="str">
        <x:v>adjacent; conditional; supporting | adjacent; conditional; supporting</x:v>
      </x:c>
      <x:c r="K362" s="16" t="str">
        <x:v>WCAG22; EN301549; NIST_CSF</x:v>
      </x:c>
      <x:c r="L362" s="16" t="str">
        <x:v>W3C Web Content Accessibility Guidelines (2.2 W3C Recommendation); ETSI EN 301 549 accessibility requirements for ICT (Use current applicable edition); NIST Cybersecurity Framework (2.0)</x:v>
      </x:c>
      <x:c r="M362" s="16" t="str">
        <x:v>https://www.w3.org/TR/WCAG22/; https://www.etsi.org/standards; https://www.nist.gov/cyberframework</x:v>
      </x:c>
      <x:c r="N362" s="16" t="str">
        <x:v>not_assessed</x:v>
      </x:c>
      <x:c r="O362" s="16" t="str"/>
      <x:c r="P362" s="18" t="str"/>
      <x:c r="Q362" s="16" t="str"/>
      <x:c r="R362" s="16" t="str"/>
      <x:c r="S362" s="16" t="str"/>
      <x:c r="T362" s="18" t="str"/>
      <x:c r="U362" s="16" t="str"/>
      <x:c r="V362" s="16" t="n">
        <x:v>0</x:v>
      </x:c>
    </x:row>
    <x:row r="363">
      <x:c r="A363" s="16" t="str">
        <x:v>FWPRO-ACCESS-008</x:v>
      </x:c>
      <x:c r="B363" s="16" t="str">
        <x:v>ACCESS</x:v>
      </x:c>
      <x:c r="C363" s="16" t="str">
        <x:v>Accessibility and inclusive product interface</x:v>
      </x:c>
      <x:c r="D363" s="16" t="str">
        <x:v>Provide meaningful accessible names for icon-only controls and report download actions.</x:v>
      </x:c>
      <x:c r="E363" s="16" t="str">
        <x:v>Run only with the documented prerequisites, approved scope and suitable specialist method; record method, version, limitations and reviewer disposition. Control objective: Provide meaningful accessible names for icon-only controls and report download actions.</x:v>
      </x:c>
      <x:c r="F363" s="16" t="str">
        <x:v>Automated scan result plus manual keyboard/screen-reader verification evidence.</x:v>
      </x:c>
      <x:c r="G363" s="16" t="str">
        <x:v>automated_plus_manual</x:v>
      </x:c>
      <x:c r="H363" s="16" t="str">
        <x:v>P2</x:v>
      </x:c>
      <x:c r="I363" s="16" t="str">
        <x:v>adjacent</x:v>
      </x:c>
      <x:c r="J363" s="16" t="str">
        <x:v>adjacent; conditional; supporting | adjacent; conditional; supporting</x:v>
      </x:c>
      <x:c r="K363" s="16" t="str">
        <x:v>WCAG22; EN301549; NIST_CSF</x:v>
      </x:c>
      <x:c r="L363" s="16" t="str">
        <x:v>W3C Web Content Accessibility Guidelines (2.2 W3C Recommendation); ETSI EN 301 549 accessibility requirements for ICT (Use current applicable edition); NIST Cybersecurity Framework (2.0)</x:v>
      </x:c>
      <x:c r="M363" s="16" t="str">
        <x:v>https://www.w3.org/TR/WCAG22/; https://www.etsi.org/standards; https://www.nist.gov/cyberframework</x:v>
      </x:c>
      <x:c r="N363" s="16" t="str">
        <x:v>not_assessed</x:v>
      </x:c>
      <x:c r="O363" s="16" t="str"/>
      <x:c r="P363" s="18" t="str"/>
      <x:c r="Q363" s="16" t="str"/>
      <x:c r="R363" s="16" t="str"/>
      <x:c r="S363" s="16" t="str"/>
      <x:c r="T363" s="18" t="str"/>
      <x:c r="U363" s="16" t="str"/>
      <x:c r="V363" s="16" t="n">
        <x:v>0</x:v>
      </x:c>
    </x:row>
    <x:row r="364">
      <x:c r="A364" s="16" t="str">
        <x:v>FWPRO-ACCESS-009</x:v>
      </x:c>
      <x:c r="B364" s="16" t="str">
        <x:v>ACCESS</x:v>
      </x:c>
      <x:c r="C364" s="16" t="str">
        <x:v>Accessibility and inclusive product interface</x:v>
      </x:c>
      <x:c r="D364" s="16" t="str">
        <x:v>Check focus movement and modal/dialog behavior in keyboard and screen-reader tests.</x:v>
      </x:c>
      <x:c r="E364" s="16" t="str">
        <x:v>Run only with the documented prerequisites, approved scope and suitable specialist method; record method, version, limitations and reviewer disposition. Control objective: Check focus movement and modal/dialog behavior in keyboard and screen-reader tests.</x:v>
      </x:c>
      <x:c r="F364" s="16" t="str">
        <x:v>Automated scan result plus manual keyboard/screen-reader verification evidence.</x:v>
      </x:c>
      <x:c r="G364" s="16" t="str">
        <x:v>automated_plus_manual</x:v>
      </x:c>
      <x:c r="H364" s="16" t="str">
        <x:v>P2</x:v>
      </x:c>
      <x:c r="I364" s="16" t="str">
        <x:v>adjacent</x:v>
      </x:c>
      <x:c r="J364" s="16" t="str">
        <x:v>adjacent; conditional; supporting | adjacent; conditional; supporting</x:v>
      </x:c>
      <x:c r="K364" s="16" t="str">
        <x:v>WCAG22; EN301549; NIST_CSF</x:v>
      </x:c>
      <x:c r="L364" s="16" t="str">
        <x:v>W3C Web Content Accessibility Guidelines (2.2 W3C Recommendation); ETSI EN 301 549 accessibility requirements for ICT (Use current applicable edition); NIST Cybersecurity Framework (2.0)</x:v>
      </x:c>
      <x:c r="M364" s="16" t="str">
        <x:v>https://www.w3.org/TR/WCAG22/; https://www.etsi.org/standards; https://www.nist.gov/cyberframework</x:v>
      </x:c>
      <x:c r="N364" s="16" t="str">
        <x:v>not_assessed</x:v>
      </x:c>
      <x:c r="O364" s="16" t="str"/>
      <x:c r="P364" s="18" t="str"/>
      <x:c r="Q364" s="16" t="str"/>
      <x:c r="R364" s="16" t="str"/>
      <x:c r="S364" s="16" t="str"/>
      <x:c r="T364" s="18" t="str"/>
      <x:c r="U364" s="16" t="str"/>
      <x:c r="V364" s="16" t="n">
        <x:v>0</x:v>
      </x:c>
    </x:row>
    <x:row r="365">
      <x:c r="A365" s="16" t="str">
        <x:v>FWPRO-ACCESS-010</x:v>
      </x:c>
      <x:c r="B365" s="16" t="str">
        <x:v>ACCESS</x:v>
      </x:c>
      <x:c r="C365" s="16" t="str">
        <x:v>Accessibility and inclusive product interface</x:v>
      </x:c>
      <x:c r="D365" s="16" t="str">
        <x:v>Include automated accessibility checks plus manual assistive-technology verification for applicable criteria.</x:v>
      </x:c>
      <x:c r="E365" s="16" t="str">
        <x:v>Run only with the documented prerequisites, approved scope and suitable specialist method; record method, version, limitations and reviewer disposition. Control objective: Include automated accessibility checks plus manual assistive-technology verification for applicable criteria.</x:v>
      </x:c>
      <x:c r="F365" s="16" t="str">
        <x:v>Automated scan result plus manual keyboard/screen-reader verification evidence.</x:v>
      </x:c>
      <x:c r="G365" s="16" t="str">
        <x:v>automated_plus_manual</x:v>
      </x:c>
      <x:c r="H365" s="16" t="str">
        <x:v>P2</x:v>
      </x:c>
      <x:c r="I365" s="16" t="str">
        <x:v>adjacent</x:v>
      </x:c>
      <x:c r="J365" s="16" t="str">
        <x:v>adjacent; conditional; supporting | adjacent; conditional; supporting</x:v>
      </x:c>
      <x:c r="K365" s="16" t="str">
        <x:v>WCAG22; EN301549; NIST_CSF</x:v>
      </x:c>
      <x:c r="L365" s="16" t="str">
        <x:v>W3C Web Content Accessibility Guidelines (2.2 W3C Recommendation); ETSI EN 301 549 accessibility requirements for ICT (Use current applicable edition); NIST Cybersecurity Framework (2.0)</x:v>
      </x:c>
      <x:c r="M365" s="16" t="str">
        <x:v>https://www.w3.org/TR/WCAG22/; https://www.etsi.org/standards; https://www.nist.gov/cyberframework</x:v>
      </x:c>
      <x:c r="N365" s="16" t="str">
        <x:v>not_assessed</x:v>
      </x:c>
      <x:c r="O365" s="16" t="str"/>
      <x:c r="P365" s="18" t="str"/>
      <x:c r="Q365" s="16" t="str"/>
      <x:c r="R365" s="16" t="str"/>
      <x:c r="S365" s="16" t="str"/>
      <x:c r="T365" s="18" t="str"/>
      <x:c r="U365" s="16" t="str"/>
      <x:c r="V365" s="16" t="n">
        <x:v>0</x:v>
      </x:c>
    </x:row>
    <x:row r="366">
      <x:c r="A366" s="16" t="str">
        <x:v>FWPRO-ACCESS-011</x:v>
      </x:c>
      <x:c r="B366" s="16" t="str">
        <x:v>ACCESS</x:v>
      </x:c>
      <x:c r="C366" s="16" t="str">
        <x:v>Accessibility and inclusive product interface</x:v>
      </x:c>
      <x:c r="D366" s="16" t="str">
        <x:v>Record target conformance level and applicable legal/procurement standard before declaring accessibility status.</x:v>
      </x:c>
      <x:c r="E366" s="16" t="str">
        <x:v>Run only with the documented prerequisites, approved scope and suitable specialist method; record method, version, limitations and reviewer disposition. Control objective: Record target conformance level and applicable legal/procurement standard before declaring accessibility status.</x:v>
      </x:c>
      <x:c r="F366" s="16" t="str">
        <x:v>Automated scan result plus manual keyboard/screen-reader verification evidence.</x:v>
      </x:c>
      <x:c r="G366" s="16" t="str">
        <x:v>automated_plus_manual</x:v>
      </x:c>
      <x:c r="H366" s="16" t="str">
        <x:v>P2</x:v>
      </x:c>
      <x:c r="I366" s="16" t="str">
        <x:v>adjacent</x:v>
      </x:c>
      <x:c r="J366" s="16" t="str">
        <x:v>adjacent; conditional; supporting | adjacent; conditional; supporting</x:v>
      </x:c>
      <x:c r="K366" s="16" t="str">
        <x:v>WCAG22; EN301549; NIST_CSF</x:v>
      </x:c>
      <x:c r="L366" s="16" t="str">
        <x:v>W3C Web Content Accessibility Guidelines (2.2 W3C Recommendation); ETSI EN 301 549 accessibility requirements for ICT (Use current applicable edition); NIST Cybersecurity Framework (2.0)</x:v>
      </x:c>
      <x:c r="M366" s="16" t="str">
        <x:v>https://www.w3.org/TR/WCAG22/; https://www.etsi.org/standards; https://www.nist.gov/cyberframework</x:v>
      </x:c>
      <x:c r="N366" s="16" t="str">
        <x:v>not_assessed</x:v>
      </x:c>
      <x:c r="O366" s="16" t="str"/>
      <x:c r="P366" s="18" t="str"/>
      <x:c r="Q366" s="16" t="str"/>
      <x:c r="R366" s="16" t="str"/>
      <x:c r="S366" s="16" t="str"/>
      <x:c r="T366" s="18" t="str"/>
      <x:c r="U366" s="16" t="str"/>
      <x:c r="V366" s="16" t="n">
        <x:v>0</x:v>
      </x:c>
    </x:row>
    <x:row r="367">
      <x:c r="A367" s="16" t="str">
        <x:v>FWPRO-ACCESS-012</x:v>
      </x:c>
      <x:c r="B367" s="16" t="str">
        <x:v>ACCESS</x:v>
      </x:c>
      <x:c r="C367" s="16" t="str">
        <x:v>Accessibility and inclusive product interface</x:v>
      </x:c>
      <x:c r="D367" s="16" t="str">
        <x:v>Test language metadata, page title, headings and table header associations.</x:v>
      </x:c>
      <x:c r="E367" s="16" t="str">
        <x:v>Run only with the documented prerequisites, approved scope and suitable specialist method; record method, version, limitations and reviewer disposition. Control objective: Test language metadata, page title, headings and table header associations.</x:v>
      </x:c>
      <x:c r="F367" s="16" t="str">
        <x:v>Automated scan result plus manual keyboard/screen-reader verification evidence.</x:v>
      </x:c>
      <x:c r="G367" s="16" t="str">
        <x:v>automated_plus_manual</x:v>
      </x:c>
      <x:c r="H367" s="16" t="str">
        <x:v>P2</x:v>
      </x:c>
      <x:c r="I367" s="16" t="str">
        <x:v>adjacent</x:v>
      </x:c>
      <x:c r="J367" s="16" t="str">
        <x:v>adjacent; conditional; supporting | adjacent; conditional; supporting</x:v>
      </x:c>
      <x:c r="K367" s="16" t="str">
        <x:v>WCAG22; EN301549; NIST_CSF</x:v>
      </x:c>
      <x:c r="L367" s="16" t="str">
        <x:v>W3C Web Content Accessibility Guidelines (2.2 W3C Recommendation); ETSI EN 301 549 accessibility requirements for ICT (Use current applicable edition); NIST Cybersecurity Framework (2.0)</x:v>
      </x:c>
      <x:c r="M367" s="16" t="str">
        <x:v>https://www.w3.org/TR/WCAG22/; https://www.etsi.org/standards; https://www.nist.gov/cyberframework</x:v>
      </x:c>
      <x:c r="N367" s="16" t="str">
        <x:v>not_assessed</x:v>
      </x:c>
      <x:c r="O367" s="16" t="str"/>
      <x:c r="P367" s="18" t="str"/>
      <x:c r="Q367" s="16" t="str"/>
      <x:c r="R367" s="16" t="str"/>
      <x:c r="S367" s="16" t="str"/>
      <x:c r="T367" s="18" t="str"/>
      <x:c r="U367" s="16" t="str"/>
      <x:c r="V367" s="16" t="n">
        <x:v>0</x:v>
      </x:c>
    </x:row>
    <x:row r="368">
      <x:c r="A368" s="16" t="str">
        <x:v>FWPRO-MOBILE-001</x:v>
      </x:c>
      <x:c r="B368" s="16" t="str">
        <x:v>MOBILE</x:v>
      </x:c>
      <x:c r="C368" s="16" t="str">
        <x:v>Mobile application security (conditional)</x:v>
      </x:c>
      <x:c r="D368" s="16" t="str">
        <x:v>Inventory mobile app identifiers, signing keys, supported platform versions and release channels.</x:v>
      </x:c>
      <x:c r="E368" s="16" t="str">
        <x:v>Run only with the documented prerequisites, approved scope and suitable specialist method; record method, version, limitations and reviewer disposition. Control objective: Inventory mobile app identifiers, signing keys, supported platform versions and release channels.</x:v>
      </x:c>
      <x:c r="F368" s="16" t="str">
        <x:v>Specialist tool/test record, device/environment details, sanitized evidence and assessor review.</x:v>
      </x:c>
      <x:c r="G368" s="16" t="str">
        <x:v>specialist_tool</x:v>
      </x:c>
      <x:c r="H368" s="16" t="str">
        <x:v>P2</x:v>
      </x:c>
      <x:c r="I368" s="16" t="str">
        <x:v>conditional</x:v>
      </x:c>
      <x:c r="J368" s="16" t="str">
        <x:v>conditional; direct; supporting | conditional; direct; supporting</x:v>
      </x:c>
      <x:c r="K368" s="16" t="str">
        <x:v>OWASP_MASVS; OWASP_MASTG; OWASP_ASVS; OWASP_CHEATSHEETS</x:v>
      </x:c>
      <x:c r="L368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68" s="16" t="str">
        <x:v>https://mas.owasp.org/MASVS/; https://mas.owasp.org/MASTG/; https://owasp.org/www-project-application-security-verification-standard/; https://cheatsheetseries.owasp.org/</x:v>
      </x:c>
      <x:c r="N368" s="16" t="str">
        <x:v>not_assessed</x:v>
      </x:c>
      <x:c r="O368" s="16" t="str"/>
      <x:c r="P368" s="18" t="str"/>
      <x:c r="Q368" s="16" t="str"/>
      <x:c r="R368" s="16" t="str"/>
      <x:c r="S368" s="16" t="str"/>
      <x:c r="T368" s="18" t="str"/>
      <x:c r="U368" s="16" t="str"/>
      <x:c r="V368" s="16" t="n">
        <x:v>0</x:v>
      </x:c>
    </x:row>
    <x:row r="369">
      <x:c r="A369" s="16" t="str">
        <x:v>FWPRO-MOBILE-002</x:v>
      </x:c>
      <x:c r="B369" s="16" t="str">
        <x:v>MOBILE</x:v>
      </x:c>
      <x:c r="C369" s="16" t="str">
        <x:v>Mobile application security (conditional)</x:v>
      </x:c>
      <x:c r="D369" s="16" t="str">
        <x:v>Avoid storing long-lived secrets or sensitive records in insecure device storage.</x:v>
      </x:c>
      <x:c r="E369" s="16" t="str">
        <x:v>Run only with the documented prerequisites, approved scope and suitable specialist method; record method, version, limitations and reviewer disposition. Control objective: Avoid storing long-lived secrets or sensitive records in insecure device storage.</x:v>
      </x:c>
      <x:c r="F369" s="16" t="str">
        <x:v>Specialist tool/test record, device/environment details, sanitized evidence and assessor review.</x:v>
      </x:c>
      <x:c r="G369" s="16" t="str">
        <x:v>specialist_tool</x:v>
      </x:c>
      <x:c r="H369" s="16" t="str">
        <x:v>P2</x:v>
      </x:c>
      <x:c r="I369" s="16" t="str">
        <x:v>conditional</x:v>
      </x:c>
      <x:c r="J369" s="16" t="str">
        <x:v>conditional; direct; supporting | conditional; direct; supporting</x:v>
      </x:c>
      <x:c r="K369" s="16" t="str">
        <x:v>OWASP_MASVS; OWASP_MASTG; OWASP_ASVS; OWASP_CHEATSHEETS</x:v>
      </x:c>
      <x:c r="L369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69" s="16" t="str">
        <x:v>https://mas.owasp.org/MASVS/; https://mas.owasp.org/MASTG/; https://owasp.org/www-project-application-security-verification-standard/; https://cheatsheetseries.owasp.org/</x:v>
      </x:c>
      <x:c r="N369" s="16" t="str">
        <x:v>not_assessed</x:v>
      </x:c>
      <x:c r="O369" s="16" t="str"/>
      <x:c r="P369" s="18" t="str"/>
      <x:c r="Q369" s="16" t="str"/>
      <x:c r="R369" s="16" t="str"/>
      <x:c r="S369" s="16" t="str"/>
      <x:c r="T369" s="18" t="str"/>
      <x:c r="U369" s="16" t="str"/>
      <x:c r="V369" s="16" t="n">
        <x:v>0</x:v>
      </x:c>
    </x:row>
    <x:row r="370">
      <x:c r="A370" s="16" t="str">
        <x:v>FWPRO-MOBILE-003</x:v>
      </x:c>
      <x:c r="B370" s="16" t="str">
        <x:v>MOBILE</x:v>
      </x:c>
      <x:c r="C370" s="16" t="str">
        <x:v>Mobile application security (conditional)</x:v>
      </x:c>
      <x:c r="D370" s="16" t="str">
        <x:v>Use platform-backed key storage and modern cryptographic APIs for sensitive mobile data.</x:v>
      </x:c>
      <x:c r="E370" s="16" t="str">
        <x:v>Run only with the documented prerequisites, approved scope and suitable specialist method; record method, version, limitations and reviewer disposition. Control objective: Use platform-backed key storage and modern cryptographic APIs for sensitive mobile data.</x:v>
      </x:c>
      <x:c r="F370" s="16" t="str">
        <x:v>Specialist tool/test record, device/environment details, sanitized evidence and assessor review.</x:v>
      </x:c>
      <x:c r="G370" s="16" t="str">
        <x:v>specialist_tool</x:v>
      </x:c>
      <x:c r="H370" s="16" t="str">
        <x:v>P2</x:v>
      </x:c>
      <x:c r="I370" s="16" t="str">
        <x:v>conditional</x:v>
      </x:c>
      <x:c r="J370" s="16" t="str">
        <x:v>conditional; direct; supporting | conditional; direct; supporting</x:v>
      </x:c>
      <x:c r="K370" s="16" t="str">
        <x:v>OWASP_MASVS; OWASP_MASTG; OWASP_ASVS; OWASP_CHEATSHEETS</x:v>
      </x:c>
      <x:c r="L370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0" s="16" t="str">
        <x:v>https://mas.owasp.org/MASVS/; https://mas.owasp.org/MASTG/; https://owasp.org/www-project-application-security-verification-standard/; https://cheatsheetseries.owasp.org/</x:v>
      </x:c>
      <x:c r="N370" s="16" t="str">
        <x:v>not_assessed</x:v>
      </x:c>
      <x:c r="O370" s="16" t="str"/>
      <x:c r="P370" s="18" t="str"/>
      <x:c r="Q370" s="16" t="str"/>
      <x:c r="R370" s="16" t="str"/>
      <x:c r="S370" s="16" t="str"/>
      <x:c r="T370" s="18" t="str"/>
      <x:c r="U370" s="16" t="str"/>
      <x:c r="V370" s="16" t="n">
        <x:v>0</x:v>
      </x:c>
    </x:row>
    <x:row r="371">
      <x:c r="A371" s="16" t="str">
        <x:v>FWPRO-MOBILE-004</x:v>
      </x:c>
      <x:c r="B371" s="16" t="str">
        <x:v>MOBILE</x:v>
      </x:c>
      <x:c r="C371" s="16" t="str">
        <x:v>Mobile application security (conditional)</x:v>
      </x:c>
      <x:c r="D371" s="16" t="str">
        <x:v>Validate TLS and certificate behavior, including unsafe trust overrides and debug-only network settings.</x:v>
      </x:c>
      <x:c r="E371" s="16" t="str">
        <x:v>Run only with the documented prerequisites, approved scope and suitable specialist method; record method, version, limitations and reviewer disposition. Control objective: Validate TLS and certificate behavior, including unsafe trust overrides and debug-only network settings.</x:v>
      </x:c>
      <x:c r="F371" s="16" t="str">
        <x:v>Specialist tool/test record, device/environment details, sanitized evidence and assessor review.</x:v>
      </x:c>
      <x:c r="G371" s="16" t="str">
        <x:v>specialist_tool</x:v>
      </x:c>
      <x:c r="H371" s="16" t="str">
        <x:v>P2</x:v>
      </x:c>
      <x:c r="I371" s="16" t="str">
        <x:v>conditional</x:v>
      </x:c>
      <x:c r="J371" s="16" t="str">
        <x:v>conditional; direct; supporting | conditional; direct; supporting</x:v>
      </x:c>
      <x:c r="K371" s="16" t="str">
        <x:v>OWASP_MASVS; OWASP_MASTG; OWASP_ASVS; OWASP_CHEATSHEETS</x:v>
      </x:c>
      <x:c r="L371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1" s="16" t="str">
        <x:v>https://mas.owasp.org/MASVS/; https://mas.owasp.org/MASTG/; https://owasp.org/www-project-application-security-verification-standard/; https://cheatsheetseries.owasp.org/</x:v>
      </x:c>
      <x:c r="N371" s="16" t="str">
        <x:v>not_assessed</x:v>
      </x:c>
      <x:c r="O371" s="16" t="str"/>
      <x:c r="P371" s="18" t="str"/>
      <x:c r="Q371" s="16" t="str"/>
      <x:c r="R371" s="16" t="str"/>
      <x:c r="S371" s="16" t="str"/>
      <x:c r="T371" s="18" t="str"/>
      <x:c r="U371" s="16" t="str"/>
      <x:c r="V371" s="16" t="n">
        <x:v>0</x:v>
      </x:c>
    </x:row>
    <x:row r="372">
      <x:c r="A372" s="16" t="str">
        <x:v>FWPRO-MOBILE-005</x:v>
      </x:c>
      <x:c r="B372" s="16" t="str">
        <x:v>MOBILE</x:v>
      </x:c>
      <x:c r="C372" s="16" t="str">
        <x:v>Mobile application security (conditional)</x:v>
      </x:c>
      <x:c r="D372" s="16" t="str">
        <x:v>Protect deep links, app links, intent handlers and inter-app messages against unauthorized actions.</x:v>
      </x:c>
      <x:c r="E372" s="16" t="str">
        <x:v>Run only with the documented prerequisites, approved scope and suitable specialist method; record method, version, limitations and reviewer disposition. Control objective: Protect deep links, app links, intent handlers and inter-app messages against unauthorized actions.</x:v>
      </x:c>
      <x:c r="F372" s="16" t="str">
        <x:v>Specialist tool/test record, device/environment details, sanitized evidence and assessor review.</x:v>
      </x:c>
      <x:c r="G372" s="16" t="str">
        <x:v>specialist_tool</x:v>
      </x:c>
      <x:c r="H372" s="16" t="str">
        <x:v>P2</x:v>
      </x:c>
      <x:c r="I372" s="16" t="str">
        <x:v>conditional</x:v>
      </x:c>
      <x:c r="J372" s="16" t="str">
        <x:v>conditional; direct; supporting | conditional; direct; supporting</x:v>
      </x:c>
      <x:c r="K372" s="16" t="str">
        <x:v>OWASP_MASVS; OWASP_MASTG; OWASP_ASVS; OWASP_CHEATSHEETS</x:v>
      </x:c>
      <x:c r="L372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2" s="16" t="str">
        <x:v>https://mas.owasp.org/MASVS/; https://mas.owasp.org/MASTG/; https://owasp.org/www-project-application-security-verification-standard/; https://cheatsheetseries.owasp.org/</x:v>
      </x:c>
      <x:c r="N372" s="16" t="str">
        <x:v>not_assessed</x:v>
      </x:c>
      <x:c r="O372" s="16" t="str"/>
      <x:c r="P372" s="18" t="str"/>
      <x:c r="Q372" s="16" t="str"/>
      <x:c r="R372" s="16" t="str"/>
      <x:c r="S372" s="16" t="str"/>
      <x:c r="T372" s="18" t="str"/>
      <x:c r="U372" s="16" t="str"/>
      <x:c r="V372" s="16" t="n">
        <x:v>0</x:v>
      </x:c>
    </x:row>
    <x:row r="373">
      <x:c r="A373" s="16" t="str">
        <x:v>FWPRO-MOBILE-006</x:v>
      </x:c>
      <x:c r="B373" s="16" t="str">
        <x:v>MOBILE</x:v>
      </x:c>
      <x:c r="C373" s="16" t="str">
        <x:v>Mobile application security (conditional)</x:v>
      </x:c>
      <x:c r="D373" s="16" t="str">
        <x:v>Review exported Android components, entitlements, URL schemes and platform permissions.</x:v>
      </x:c>
      <x:c r="E373" s="16" t="str">
        <x:v>Run only with the documented prerequisites, approved scope and suitable specialist method; record method, version, limitations and reviewer disposition. Control objective: Review exported Android components, entitlements, URL schemes and platform permissions.</x:v>
      </x:c>
      <x:c r="F373" s="16" t="str">
        <x:v>Specialist tool/test record, device/environment details, sanitized evidence and assessor review.</x:v>
      </x:c>
      <x:c r="G373" s="16" t="str">
        <x:v>specialist_tool</x:v>
      </x:c>
      <x:c r="H373" s="16" t="str">
        <x:v>P2</x:v>
      </x:c>
      <x:c r="I373" s="16" t="str">
        <x:v>conditional</x:v>
      </x:c>
      <x:c r="J373" s="16" t="str">
        <x:v>conditional; direct; supporting | conditional; direct; supporting</x:v>
      </x:c>
      <x:c r="K373" s="16" t="str">
        <x:v>OWASP_MASVS; OWASP_MASTG; OWASP_ASVS; OWASP_CHEATSHEETS</x:v>
      </x:c>
      <x:c r="L373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3" s="16" t="str">
        <x:v>https://mas.owasp.org/MASVS/; https://mas.owasp.org/MASTG/; https://owasp.org/www-project-application-security-verification-standard/; https://cheatsheetseries.owasp.org/</x:v>
      </x:c>
      <x:c r="N373" s="16" t="str">
        <x:v>not_assessed</x:v>
      </x:c>
      <x:c r="O373" s="16" t="str"/>
      <x:c r="P373" s="18" t="str"/>
      <x:c r="Q373" s="16" t="str"/>
      <x:c r="R373" s="16" t="str"/>
      <x:c r="S373" s="16" t="str"/>
      <x:c r="T373" s="18" t="str"/>
      <x:c r="U373" s="16" t="str"/>
      <x:c r="V373" s="16" t="n">
        <x:v>0</x:v>
      </x:c>
    </x:row>
    <x:row r="374">
      <x:c r="A374" s="16" t="str">
        <x:v>FWPRO-MOBILE-007</x:v>
      </x:c>
      <x:c r="B374" s="16" t="str">
        <x:v>MOBILE</x:v>
      </x:c>
      <x:c r="C374" s="16" t="str">
        <x:v>Mobile application security (conditional)</x:v>
      </x:c>
      <x:c r="D374" s="16" t="str">
        <x:v>Prevent sensitive data from leaking through logs, screenshots, clipboard, backups or notifications where relevant.</x:v>
      </x:c>
      <x:c r="E374" s="16" t="str">
        <x:v>Run only with the documented prerequisites, approved scope and suitable specialist method; record method, version, limitations and reviewer disposition. Control objective: Prevent sensitive data from leaking through logs, screenshots, clipboard, backups or notifications where relevant.</x:v>
      </x:c>
      <x:c r="F374" s="16" t="str">
        <x:v>Specialist tool/test record, device/environment details, sanitized evidence and assessor review.</x:v>
      </x:c>
      <x:c r="G374" s="16" t="str">
        <x:v>specialist_tool</x:v>
      </x:c>
      <x:c r="H374" s="16" t="str">
        <x:v>P2</x:v>
      </x:c>
      <x:c r="I374" s="16" t="str">
        <x:v>conditional</x:v>
      </x:c>
      <x:c r="J374" s="16" t="str">
        <x:v>conditional; direct; supporting | conditional; direct; supporting</x:v>
      </x:c>
      <x:c r="K374" s="16" t="str">
        <x:v>OWASP_MASVS; OWASP_MASTG; OWASP_ASVS; OWASP_CHEATSHEETS</x:v>
      </x:c>
      <x:c r="L374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4" s="16" t="str">
        <x:v>https://mas.owasp.org/MASVS/; https://mas.owasp.org/MASTG/; https://owasp.org/www-project-application-security-verification-standard/; https://cheatsheetseries.owasp.org/</x:v>
      </x:c>
      <x:c r="N374" s="16" t="str">
        <x:v>not_assessed</x:v>
      </x:c>
      <x:c r="O374" s="16" t="str"/>
      <x:c r="P374" s="18" t="str"/>
      <x:c r="Q374" s="16" t="str"/>
      <x:c r="R374" s="16" t="str"/>
      <x:c r="S374" s="16" t="str"/>
      <x:c r="T374" s="18" t="str"/>
      <x:c r="U374" s="16" t="str"/>
      <x:c r="V374" s="16" t="n">
        <x:v>0</x:v>
      </x:c>
    </x:row>
    <x:row r="375">
      <x:c r="A375" s="16" t="str">
        <x:v>FWPRO-MOBILE-008</x:v>
      </x:c>
      <x:c r="B375" s="16" t="str">
        <x:v>MOBILE</x:v>
      </x:c>
      <x:c r="C375" s="16" t="str">
        <x:v>Mobile application security (conditional)</x:v>
      </x:c>
      <x:c r="D375" s="16" t="str">
        <x:v>Review root/jailbreak, tampering and reverse-engineering mitigations according to actual risk.</x:v>
      </x:c>
      <x:c r="E375" s="16" t="str">
        <x:v>Run only with the documented prerequisites, approved scope and suitable specialist method; record method, version, limitations and reviewer disposition. Control objective: Review root/jailbreak, tampering and reverse-engineering mitigations according to actual risk.</x:v>
      </x:c>
      <x:c r="F375" s="16" t="str">
        <x:v>Specialist tool/test record, device/environment details, sanitized evidence and assessor review.</x:v>
      </x:c>
      <x:c r="G375" s="16" t="str">
        <x:v>specialist_tool</x:v>
      </x:c>
      <x:c r="H375" s="16" t="str">
        <x:v>P2</x:v>
      </x:c>
      <x:c r="I375" s="16" t="str">
        <x:v>conditional</x:v>
      </x:c>
      <x:c r="J375" s="16" t="str">
        <x:v>conditional; direct; supporting | conditional; direct; supporting</x:v>
      </x:c>
      <x:c r="K375" s="16" t="str">
        <x:v>OWASP_MASVS; OWASP_MASTG; OWASP_ASVS; OWASP_CHEATSHEETS</x:v>
      </x:c>
      <x:c r="L375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5" s="16" t="str">
        <x:v>https://mas.owasp.org/MASVS/; https://mas.owasp.org/MASTG/; https://owasp.org/www-project-application-security-verification-standard/; https://cheatsheetseries.owasp.org/</x:v>
      </x:c>
      <x:c r="N375" s="16" t="str">
        <x:v>not_assessed</x:v>
      </x:c>
      <x:c r="O375" s="16" t="str"/>
      <x:c r="P375" s="18" t="str"/>
      <x:c r="Q375" s="16" t="str"/>
      <x:c r="R375" s="16" t="str"/>
      <x:c r="S375" s="16" t="str"/>
      <x:c r="T375" s="18" t="str"/>
      <x:c r="U375" s="16" t="str"/>
      <x:c r="V375" s="16" t="n">
        <x:v>0</x:v>
      </x:c>
    </x:row>
    <x:row r="376">
      <x:c r="A376" s="16" t="str">
        <x:v>FWPRO-MOBILE-009</x:v>
      </x:c>
      <x:c r="B376" s="16" t="str">
        <x:v>MOBILE</x:v>
      </x:c>
      <x:c r="C376" s="16" t="str">
        <x:v>Mobile application security (conditional)</x:v>
      </x:c>
      <x:c r="D376" s="16" t="str">
        <x:v>Use MASVS and MASTG test cases for each supported platform and record device/OS/tool versions.</x:v>
      </x:c>
      <x:c r="E376" s="16" t="str">
        <x:v>Run only with the documented prerequisites, approved scope and suitable specialist method; record method, version, limitations and reviewer disposition. Control objective: Use MASVS and MASTG test cases for each supported platform and record device/OS/tool versions.</x:v>
      </x:c>
      <x:c r="F376" s="16" t="str">
        <x:v>Specialist tool/test record, device/environment details, sanitized evidence and assessor review.</x:v>
      </x:c>
      <x:c r="G376" s="16" t="str">
        <x:v>specialist_tool</x:v>
      </x:c>
      <x:c r="H376" s="16" t="str">
        <x:v>P2</x:v>
      </x:c>
      <x:c r="I376" s="16" t="str">
        <x:v>conditional</x:v>
      </x:c>
      <x:c r="J376" s="16" t="str">
        <x:v>conditional; direct; supporting | conditional; direct; supporting</x:v>
      </x:c>
      <x:c r="K376" s="16" t="str">
        <x:v>OWASP_MASVS; OWASP_MASTG; OWASP_ASVS; OWASP_CHEATSHEETS</x:v>
      </x:c>
      <x:c r="L376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6" s="16" t="str">
        <x:v>https://mas.owasp.org/MASVS/; https://mas.owasp.org/MASTG/; https://owasp.org/www-project-application-security-verification-standard/; https://cheatsheetseries.owasp.org/</x:v>
      </x:c>
      <x:c r="N376" s="16" t="str">
        <x:v>not_assessed</x:v>
      </x:c>
      <x:c r="O376" s="16" t="str"/>
      <x:c r="P376" s="18" t="str"/>
      <x:c r="Q376" s="16" t="str"/>
      <x:c r="R376" s="16" t="str"/>
      <x:c r="S376" s="16" t="str"/>
      <x:c r="T376" s="18" t="str"/>
      <x:c r="U376" s="16" t="str"/>
      <x:c r="V376" s="16" t="n">
        <x:v>0</x:v>
      </x:c>
    </x:row>
    <x:row r="377">
      <x:c r="A377" s="16" t="str">
        <x:v>FWPRO-MOBILE-010</x:v>
      </x:c>
      <x:c r="B377" s="16" t="str">
        <x:v>MOBILE</x:v>
      </x:c>
      <x:c r="C377" s="16" t="str">
        <x:v>Mobile application security (conditional)</x:v>
      </x:c>
      <x:c r="D377" s="16" t="str">
        <x:v>Treat a web/API scan as complementary; do not claim mobile MASVS conformance without mobile testing.</x:v>
      </x:c>
      <x:c r="E377" s="16" t="str">
        <x:v>Run only with the documented prerequisites, approved scope and suitable specialist method; record method, version, limitations and reviewer disposition. Control objective: Treat a web/API scan as complementary; do not claim mobile MASVS conformance without mobile testing.</x:v>
      </x:c>
      <x:c r="F377" s="16" t="str">
        <x:v>Specialist tool/test record, device/environment details, sanitized evidence and assessor review.</x:v>
      </x:c>
      <x:c r="G377" s="16" t="str">
        <x:v>specialist_tool</x:v>
      </x:c>
      <x:c r="H377" s="16" t="str">
        <x:v>P2</x:v>
      </x:c>
      <x:c r="I377" s="16" t="str">
        <x:v>conditional</x:v>
      </x:c>
      <x:c r="J377" s="16" t="str">
        <x:v>conditional; direct; supporting | conditional; direct; supporting</x:v>
      </x:c>
      <x:c r="K377" s="16" t="str">
        <x:v>OWASP_MASVS; OWASP_MASTG; OWASP_ASVS; OWASP_CHEATSHEETS</x:v>
      </x:c>
      <x:c r="L377" s="16" t="str">
        <x:v>OWASP Mobile Application Security Verification Standard (Current project edition; verify at assessment time); OWASP Mobile Application Security Testing Guide (Rolling project content); OWASP Application Security Verification Standard (5.0.0 (stable)); OWASP Cheat Sheet Series (Rolling community guidance)</x:v>
      </x:c>
      <x:c r="M377" s="16" t="str">
        <x:v>https://mas.owasp.org/MASVS/; https://mas.owasp.org/MASTG/; https://owasp.org/www-project-application-security-verification-standard/; https://cheatsheetseries.owasp.org/</x:v>
      </x:c>
      <x:c r="N377" s="16" t="str">
        <x:v>not_assessed</x:v>
      </x:c>
      <x:c r="O377" s="16" t="str"/>
      <x:c r="P377" s="18" t="str"/>
      <x:c r="Q377" s="16" t="str"/>
      <x:c r="R377" s="16" t="str"/>
      <x:c r="S377" s="16" t="str"/>
      <x:c r="T377" s="18" t="str"/>
      <x:c r="U377" s="16" t="str"/>
      <x:c r="V377" s="16" t="n">
        <x:v>0</x:v>
      </x:c>
    </x:row>
    <x:row r="378">
      <x:c r="A378" s="16" t="str">
        <x:v>FWPRO-AI-001</x:v>
      </x:c>
      <x:c r="B378" s="16" t="str">
        <x:v>AI</x:v>
      </x:c>
      <x:c r="C378" s="16" t="str">
        <x:v>AI/LLM/agent security (conditional)</x:v>
      </x:c>
      <x:c r="D378" s="16" t="str">
        <x:v>Inventory models, model versions, providers, prompts, tools, retrieval sources and sensitive data paths.</x:v>
      </x:c>
      <x:c r="E378" s="16" t="str">
        <x:v>Run only with the documented prerequisites, approved scope and suitable specialist method; record method, version, limitations and reviewer disposition. Control objective: Inventory models, model versions, providers, prompts, tools, retrieval sources and sensitive data paths.</x:v>
      </x:c>
      <x:c r="F378" s="16" t="str">
        <x:v>Reproducible test case, approved test account/environment, tool/version and reviewer validation.</x:v>
      </x:c>
      <x:c r="G378" s="16" t="str">
        <x:v>manual_or_specialist_tool</x:v>
      </x:c>
      <x:c r="H378" s="16" t="str">
        <x:v>P1</x:v>
      </x:c>
      <x:c r="I378" s="16" t="str">
        <x:v>conditional</x:v>
      </x:c>
      <x:c r="J378" s="16" t="str">
        <x:v>conditional; supporting | conditional; supporting</x:v>
      </x:c>
      <x:c r="K378" s="16" t="str">
        <x:v>OWASP_LLM; NIST_AI_RMF; NIST_AI_GENAI; ISO42001; NIST_PRIVACY</x:v>
      </x:c>
      <x:c r="L378" s="16" t="str">
        <x:v>OWASP Top 10 for LLM Applications (2025); NIST AI Risk Management Framework (1.0); NIST AI RMF Generative AI Profile (1.0); ISO/IEC 42001 AI Management System (2023); NIST Privacy Framework (1.0)</x:v>
      </x:c>
      <x:c r="M378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78" s="16" t="str">
        <x:v>not_assessed</x:v>
      </x:c>
      <x:c r="O378" s="16" t="str"/>
      <x:c r="P378" s="18" t="str"/>
      <x:c r="Q378" s="16" t="str"/>
      <x:c r="R378" s="16" t="str"/>
      <x:c r="S378" s="16" t="str"/>
      <x:c r="T378" s="18" t="str"/>
      <x:c r="U378" s="16" t="str"/>
      <x:c r="V378" s="16" t="n">
        <x:v>0</x:v>
      </x:c>
    </x:row>
    <x:row r="379">
      <x:c r="A379" s="16" t="str">
        <x:v>FWPRO-AI-002</x:v>
      </x:c>
      <x:c r="B379" s="16" t="str">
        <x:v>AI</x:v>
      </x:c>
      <x:c r="C379" s="16" t="str">
        <x:v>AI/LLM/agent security (conditional)</x:v>
      </x:c>
      <x:c r="D379" s="16" t="str">
        <x:v>Test direct and indirect prompt-injection resistance using approved, non-destructive test fixtures.</x:v>
      </x:c>
      <x:c r="E379" s="16" t="str">
        <x:v>Run only with the documented prerequisites, approved scope and suitable specialist method; record method, version, limitations and reviewer disposition. Control objective: Test direct and indirect prompt-injection resistance using approved, non-destructive test fixtures.</x:v>
      </x:c>
      <x:c r="F379" s="16" t="str">
        <x:v>Reproducible test case, approved test account/environment, tool/version and reviewer validation.</x:v>
      </x:c>
      <x:c r="G379" s="16" t="str">
        <x:v>manual_or_specialist_tool</x:v>
      </x:c>
      <x:c r="H379" s="16" t="str">
        <x:v>P1</x:v>
      </x:c>
      <x:c r="I379" s="16" t="str">
        <x:v>conditional</x:v>
      </x:c>
      <x:c r="J379" s="16" t="str">
        <x:v>conditional; supporting | conditional; supporting</x:v>
      </x:c>
      <x:c r="K379" s="16" t="str">
        <x:v>OWASP_LLM; NIST_AI_RMF; NIST_AI_GENAI; ISO42001; NIST_PRIVACY</x:v>
      </x:c>
      <x:c r="L379" s="16" t="str">
        <x:v>OWASP Top 10 for LLM Applications (2025); NIST AI Risk Management Framework (1.0); NIST AI RMF Generative AI Profile (1.0); ISO/IEC 42001 AI Management System (2023); NIST Privacy Framework (1.0)</x:v>
      </x:c>
      <x:c r="M379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79" s="16" t="str">
        <x:v>not_assessed</x:v>
      </x:c>
      <x:c r="O379" s="16" t="str"/>
      <x:c r="P379" s="18" t="str"/>
      <x:c r="Q379" s="16" t="str"/>
      <x:c r="R379" s="16" t="str"/>
      <x:c r="S379" s="16" t="str"/>
      <x:c r="T379" s="18" t="str"/>
      <x:c r="U379" s="16" t="str"/>
      <x:c r="V379" s="16" t="n">
        <x:v>0</x:v>
      </x:c>
    </x:row>
    <x:row r="380">
      <x:c r="A380" s="16" t="str">
        <x:v>FWPRO-AI-003</x:v>
      </x:c>
      <x:c r="B380" s="16" t="str">
        <x:v>AI</x:v>
      </x:c>
      <x:c r="C380" s="16" t="str">
        <x:v>AI/LLM/agent security (conditional)</x:v>
      </x:c>
      <x:c r="D380" s="16" t="str">
        <x:v>Prevent untrusted retrieved content from gaining system-level authority or bypassing policy constraints.</x:v>
      </x:c>
      <x:c r="E380" s="16" t="str">
        <x:v>Run only with the documented prerequisites, approved scope and suitable specialist method; record method, version, limitations and reviewer disposition. Control objective: Prevent untrusted retrieved content from gaining system-level authority or bypassing policy constraints.</x:v>
      </x:c>
      <x:c r="F380" s="16" t="str">
        <x:v>Reproducible test case, approved test account/environment, tool/version and reviewer validation.</x:v>
      </x:c>
      <x:c r="G380" s="16" t="str">
        <x:v>manual_or_specialist_tool</x:v>
      </x:c>
      <x:c r="H380" s="16" t="str">
        <x:v>P1</x:v>
      </x:c>
      <x:c r="I380" s="16" t="str">
        <x:v>conditional</x:v>
      </x:c>
      <x:c r="J380" s="16" t="str">
        <x:v>conditional; supporting | conditional; supporting</x:v>
      </x:c>
      <x:c r="K380" s="16" t="str">
        <x:v>OWASP_LLM; NIST_AI_RMF; NIST_AI_GENAI; ISO42001; NIST_PRIVACY</x:v>
      </x:c>
      <x:c r="L380" s="16" t="str">
        <x:v>OWASP Top 10 for LLM Applications (2025); NIST AI Risk Management Framework (1.0); NIST AI RMF Generative AI Profile (1.0); ISO/IEC 42001 AI Management System (2023); NIST Privacy Framework (1.0)</x:v>
      </x:c>
      <x:c r="M380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0" s="16" t="str">
        <x:v>not_assessed</x:v>
      </x:c>
      <x:c r="O380" s="16" t="str"/>
      <x:c r="P380" s="18" t="str"/>
      <x:c r="Q380" s="16" t="str"/>
      <x:c r="R380" s="16" t="str"/>
      <x:c r="S380" s="16" t="str"/>
      <x:c r="T380" s="18" t="str"/>
      <x:c r="U380" s="16" t="str"/>
      <x:c r="V380" s="16" t="n">
        <x:v>0</x:v>
      </x:c>
    </x:row>
    <x:row r="381">
      <x:c r="A381" s="16" t="str">
        <x:v>FWPRO-AI-004</x:v>
      </x:c>
      <x:c r="B381" s="16" t="str">
        <x:v>AI</x:v>
      </x:c>
      <x:c r="C381" s="16" t="str">
        <x:v>AI/LLM/agent security (conditional)</x:v>
      </x:c>
      <x:c r="D381" s="16" t="str">
        <x:v>Apply least privilege and per-tool authorization to agent actions; require approval for high-impact actions.</x:v>
      </x:c>
      <x:c r="E381" s="16" t="str">
        <x:v>Run only with the documented prerequisites, approved scope and suitable specialist method; record method, version, limitations and reviewer disposition. Control objective: Apply least privilege and per-tool authorization to agent actions; require approval for high-impact actions.</x:v>
      </x:c>
      <x:c r="F381" s="16" t="str">
        <x:v>Reproducible test case, approved test account/environment, tool/version and reviewer validation.</x:v>
      </x:c>
      <x:c r="G381" s="16" t="str">
        <x:v>manual_or_specialist_tool</x:v>
      </x:c>
      <x:c r="H381" s="16" t="str">
        <x:v>P1</x:v>
      </x:c>
      <x:c r="I381" s="16" t="str">
        <x:v>conditional</x:v>
      </x:c>
      <x:c r="J381" s="16" t="str">
        <x:v>conditional; supporting | conditional; supporting</x:v>
      </x:c>
      <x:c r="K381" s="16" t="str">
        <x:v>OWASP_LLM; NIST_AI_RMF; NIST_AI_GENAI; ISO42001; NIST_PRIVACY</x:v>
      </x:c>
      <x:c r="L381" s="16" t="str">
        <x:v>OWASP Top 10 for LLM Applications (2025); NIST AI Risk Management Framework (1.0); NIST AI RMF Generative AI Profile (1.0); ISO/IEC 42001 AI Management System (2023); NIST Privacy Framework (1.0)</x:v>
      </x:c>
      <x:c r="M381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1" s="16" t="str">
        <x:v>not_assessed</x:v>
      </x:c>
      <x:c r="O381" s="16" t="str"/>
      <x:c r="P381" s="18" t="str"/>
      <x:c r="Q381" s="16" t="str"/>
      <x:c r="R381" s="16" t="str"/>
      <x:c r="S381" s="16" t="str"/>
      <x:c r="T381" s="18" t="str"/>
      <x:c r="U381" s="16" t="str"/>
      <x:c r="V381" s="16" t="n">
        <x:v>0</x:v>
      </x:c>
    </x:row>
    <x:row r="382">
      <x:c r="A382" s="16" t="str">
        <x:v>FWPRO-AI-005</x:v>
      </x:c>
      <x:c r="B382" s="16" t="str">
        <x:v>AI</x:v>
      </x:c>
      <x:c r="C382" s="16" t="str">
        <x:v>AI/LLM/agent security (conditional)</x:v>
      </x:c>
      <x:c r="D382" s="16" t="str">
        <x:v>Validate and constrain model outputs before SQL, shell, HTML, code, URL or API execution.</x:v>
      </x:c>
      <x:c r="E382" s="16" t="str">
        <x:v>Run only with the documented prerequisites, approved scope and suitable specialist method; record method, version, limitations and reviewer disposition. Control objective: Validate and constrain model outputs before SQL, shell, HTML, code, URL or API execution.</x:v>
      </x:c>
      <x:c r="F382" s="16" t="str">
        <x:v>Reproducible test case, approved test account/environment, tool/version and reviewer validation.</x:v>
      </x:c>
      <x:c r="G382" s="16" t="str">
        <x:v>manual_or_specialist_tool</x:v>
      </x:c>
      <x:c r="H382" s="16" t="str">
        <x:v>P1</x:v>
      </x:c>
      <x:c r="I382" s="16" t="str">
        <x:v>conditional</x:v>
      </x:c>
      <x:c r="J382" s="16" t="str">
        <x:v>conditional; supporting | conditional; supporting</x:v>
      </x:c>
      <x:c r="K382" s="16" t="str">
        <x:v>OWASP_LLM; NIST_AI_RMF; NIST_AI_GENAI; ISO42001; NIST_PRIVACY</x:v>
      </x:c>
      <x:c r="L382" s="16" t="str">
        <x:v>OWASP Top 10 for LLM Applications (2025); NIST AI Risk Management Framework (1.0); NIST AI RMF Generative AI Profile (1.0); ISO/IEC 42001 AI Management System (2023); NIST Privacy Framework (1.0)</x:v>
      </x:c>
      <x:c r="M382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2" s="16" t="str">
        <x:v>not_assessed</x:v>
      </x:c>
      <x:c r="O382" s="16" t="str"/>
      <x:c r="P382" s="18" t="str"/>
      <x:c r="Q382" s="16" t="str"/>
      <x:c r="R382" s="16" t="str"/>
      <x:c r="S382" s="16" t="str"/>
      <x:c r="T382" s="18" t="str"/>
      <x:c r="U382" s="16" t="str"/>
      <x:c r="V382" s="16" t="n">
        <x:v>0</x:v>
      </x:c>
    </x:row>
    <x:row r="383">
      <x:c r="A383" s="16" t="str">
        <x:v>FWPRO-AI-006</x:v>
      </x:c>
      <x:c r="B383" s="16" t="str">
        <x:v>AI</x:v>
      </x:c>
      <x:c r="C383" s="16" t="str">
        <x:v>AI/LLM/agent security (conditional)</x:v>
      </x:c>
      <x:c r="D383" s="16" t="str">
        <x:v>Limit token use, tool calls, recursion, response size and external-call spend to prevent resource abuse.</x:v>
      </x:c>
      <x:c r="E383" s="16" t="str">
        <x:v>Run only with the documented prerequisites, approved scope and suitable specialist method; record method, version, limitations and reviewer disposition. Control objective: Limit token use, tool calls, recursion, response size and external-call spend to prevent resource abuse.</x:v>
      </x:c>
      <x:c r="F383" s="16" t="str">
        <x:v>Reproducible test case, approved test account/environment, tool/version and reviewer validation.</x:v>
      </x:c>
      <x:c r="G383" s="16" t="str">
        <x:v>manual_or_specialist_tool</x:v>
      </x:c>
      <x:c r="H383" s="16" t="str">
        <x:v>P1</x:v>
      </x:c>
      <x:c r="I383" s="16" t="str">
        <x:v>conditional</x:v>
      </x:c>
      <x:c r="J383" s="16" t="str">
        <x:v>conditional; supporting | conditional; supporting</x:v>
      </x:c>
      <x:c r="K383" s="16" t="str">
        <x:v>OWASP_LLM; NIST_AI_RMF; NIST_AI_GENAI; ISO42001; NIST_PRIVACY</x:v>
      </x:c>
      <x:c r="L383" s="16" t="str">
        <x:v>OWASP Top 10 for LLM Applications (2025); NIST AI Risk Management Framework (1.0); NIST AI RMF Generative AI Profile (1.0); ISO/IEC 42001 AI Management System (2023); NIST Privacy Framework (1.0)</x:v>
      </x:c>
      <x:c r="M383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3" s="16" t="str">
        <x:v>not_assessed</x:v>
      </x:c>
      <x:c r="O383" s="16" t="str"/>
      <x:c r="P383" s="18" t="str"/>
      <x:c r="Q383" s="16" t="str"/>
      <x:c r="R383" s="16" t="str"/>
      <x:c r="S383" s="16" t="str"/>
      <x:c r="T383" s="18" t="str"/>
      <x:c r="U383" s="16" t="str"/>
      <x:c r="V383" s="16" t="n">
        <x:v>0</x:v>
      </x:c>
    </x:row>
    <x:row r="384">
      <x:c r="A384" s="16" t="str">
        <x:v>FWPRO-AI-007</x:v>
      </x:c>
      <x:c r="B384" s="16" t="str">
        <x:v>AI</x:v>
      </x:c>
      <x:c r="C384" s="16" t="str">
        <x:v>AI/LLM/agent security (conditional)</x:v>
      </x:c>
      <x:c r="D384" s="16" t="str">
        <x:v>Prevent model prompts, hidden system instructions, credentials and private retrieval context from being disclosed.</x:v>
      </x:c>
      <x:c r="E384" s="16" t="str">
        <x:v>Run only with the documented prerequisites, approved scope and suitable specialist method; record method, version, limitations and reviewer disposition. Control objective: Prevent model prompts, hidden system instructions, credentials and private retrieval context from being disclosed.</x:v>
      </x:c>
      <x:c r="F384" s="16" t="str">
        <x:v>Reproducible test case, approved test account/environment, tool/version and reviewer validation.</x:v>
      </x:c>
      <x:c r="G384" s="16" t="str">
        <x:v>manual_or_specialist_tool</x:v>
      </x:c>
      <x:c r="H384" s="16" t="str">
        <x:v>P1</x:v>
      </x:c>
      <x:c r="I384" s="16" t="str">
        <x:v>conditional</x:v>
      </x:c>
      <x:c r="J384" s="16" t="str">
        <x:v>conditional; supporting | conditional; supporting</x:v>
      </x:c>
      <x:c r="K384" s="16" t="str">
        <x:v>OWASP_LLM; NIST_AI_RMF; NIST_AI_GENAI; ISO42001; NIST_PRIVACY</x:v>
      </x:c>
      <x:c r="L384" s="16" t="str">
        <x:v>OWASP Top 10 for LLM Applications (2025); NIST AI Risk Management Framework (1.0); NIST AI RMF Generative AI Profile (1.0); ISO/IEC 42001 AI Management System (2023); NIST Privacy Framework (1.0)</x:v>
      </x:c>
      <x:c r="M384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4" s="16" t="str">
        <x:v>not_assessed</x:v>
      </x:c>
      <x:c r="O384" s="16" t="str"/>
      <x:c r="P384" s="18" t="str"/>
      <x:c r="Q384" s="16" t="str"/>
      <x:c r="R384" s="16" t="str"/>
      <x:c r="S384" s="16" t="str"/>
      <x:c r="T384" s="18" t="str"/>
      <x:c r="U384" s="16" t="str"/>
      <x:c r="V384" s="16" t="n">
        <x:v>0</x:v>
      </x:c>
    </x:row>
    <x:row r="385">
      <x:c r="A385" s="16" t="str">
        <x:v>FWPRO-AI-008</x:v>
      </x:c>
      <x:c r="B385" s="16" t="str">
        <x:v>AI</x:v>
      </x:c>
      <x:c r="C385" s="16" t="str">
        <x:v>AI/LLM/agent security (conditional)</x:v>
      </x:c>
      <x:c r="D385" s="16" t="str">
        <x:v>Isolate tenants and enforce authorization at retrieval time, not only in prompt instructions.</x:v>
      </x:c>
      <x:c r="E385" s="16" t="str">
        <x:v>Run only with the documented prerequisites, approved scope and suitable specialist method; record method, version, limitations and reviewer disposition. Control objective: Isolate tenants and enforce authorization at retrieval time, not only in prompt instructions.</x:v>
      </x:c>
      <x:c r="F385" s="16" t="str">
        <x:v>Reproducible test case, approved test account/environment, tool/version and reviewer validation.</x:v>
      </x:c>
      <x:c r="G385" s="16" t="str">
        <x:v>manual_or_specialist_tool</x:v>
      </x:c>
      <x:c r="H385" s="16" t="str">
        <x:v>P1</x:v>
      </x:c>
      <x:c r="I385" s="16" t="str">
        <x:v>conditional</x:v>
      </x:c>
      <x:c r="J385" s="16" t="str">
        <x:v>conditional; supporting | conditional; supporting</x:v>
      </x:c>
      <x:c r="K385" s="16" t="str">
        <x:v>OWASP_LLM; NIST_AI_RMF; NIST_AI_GENAI; ISO42001; NIST_PRIVACY</x:v>
      </x:c>
      <x:c r="L385" s="16" t="str">
        <x:v>OWASP Top 10 for LLM Applications (2025); NIST AI Risk Management Framework (1.0); NIST AI RMF Generative AI Profile (1.0); ISO/IEC 42001 AI Management System (2023); NIST Privacy Framework (1.0)</x:v>
      </x:c>
      <x:c r="M385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5" s="16" t="str">
        <x:v>not_assessed</x:v>
      </x:c>
      <x:c r="O385" s="16" t="str"/>
      <x:c r="P385" s="18" t="str"/>
      <x:c r="Q385" s="16" t="str"/>
      <x:c r="R385" s="16" t="str"/>
      <x:c r="S385" s="16" t="str"/>
      <x:c r="T385" s="18" t="str"/>
      <x:c r="U385" s="16" t="str"/>
      <x:c r="V385" s="16" t="n">
        <x:v>0</x:v>
      </x:c>
    </x:row>
    <x:row r="386">
      <x:c r="A386" s="16" t="str">
        <x:v>FWPRO-AI-009</x:v>
      </x:c>
      <x:c r="B386" s="16" t="str">
        <x:v>AI</x:v>
      </x:c>
      <x:c r="C386" s="16" t="str">
        <x:v>AI/LLM/agent security (conditional)</x:v>
      </x:c>
      <x:c r="D386" s="16" t="str">
        <x:v>Validate data provenance and access controls for embeddings, vector stores, training and fine-tuning data.</x:v>
      </x:c>
      <x:c r="E386" s="16" t="str">
        <x:v>Run only with the documented prerequisites, approved scope and suitable specialist method; record method, version, limitations and reviewer disposition. Control objective: Validate data provenance and access controls for embeddings, vector stores, training and fine-tuning data.</x:v>
      </x:c>
      <x:c r="F386" s="16" t="str">
        <x:v>Reproducible test case, approved test account/environment, tool/version and reviewer validation.</x:v>
      </x:c>
      <x:c r="G386" s="16" t="str">
        <x:v>manual_or_specialist_tool</x:v>
      </x:c>
      <x:c r="H386" s="16" t="str">
        <x:v>P1</x:v>
      </x:c>
      <x:c r="I386" s="16" t="str">
        <x:v>conditional</x:v>
      </x:c>
      <x:c r="J386" s="16" t="str">
        <x:v>conditional; supporting | conditional; supporting</x:v>
      </x:c>
      <x:c r="K386" s="16" t="str">
        <x:v>OWASP_LLM; NIST_AI_RMF; NIST_AI_GENAI; ISO42001; NIST_PRIVACY</x:v>
      </x:c>
      <x:c r="L386" s="16" t="str">
        <x:v>OWASP Top 10 for LLM Applications (2025); NIST AI Risk Management Framework (1.0); NIST AI RMF Generative AI Profile (1.0); ISO/IEC 42001 AI Management System (2023); NIST Privacy Framework (1.0)</x:v>
      </x:c>
      <x:c r="M386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6" s="16" t="str">
        <x:v>not_assessed</x:v>
      </x:c>
      <x:c r="O386" s="16" t="str"/>
      <x:c r="P386" s="18" t="str"/>
      <x:c r="Q386" s="16" t="str"/>
      <x:c r="R386" s="16" t="str"/>
      <x:c r="S386" s="16" t="str"/>
      <x:c r="T386" s="18" t="str"/>
      <x:c r="U386" s="16" t="str"/>
      <x:c r="V386" s="16" t="n">
        <x:v>0</x:v>
      </x:c>
    </x:row>
    <x:row r="387">
      <x:c r="A387" s="16" t="str">
        <x:v>FWPRO-AI-010</x:v>
      </x:c>
      <x:c r="B387" s="16" t="str">
        <x:v>AI</x:v>
      </x:c>
      <x:c r="C387" s="16" t="str">
        <x:v>AI/LLM/agent security (conditional)</x:v>
      </x:c>
      <x:c r="D387" s="16" t="str">
        <x:v>Evaluate model supply-chain risk, plugins/tools, external data and model licensing/provenance.</x:v>
      </x:c>
      <x:c r="E387" s="16" t="str">
        <x:v>Run only with the documented prerequisites, approved scope and suitable specialist method; record method, version, limitations and reviewer disposition. Control objective: Evaluate model supply-chain risk, plugins/tools, external data and model licensing/provenance.</x:v>
      </x:c>
      <x:c r="F387" s="16" t="str">
        <x:v>Reproducible test case, approved test account/environment, tool/version and reviewer validation.</x:v>
      </x:c>
      <x:c r="G387" s="16" t="str">
        <x:v>manual_or_specialist_tool</x:v>
      </x:c>
      <x:c r="H387" s="16" t="str">
        <x:v>P1</x:v>
      </x:c>
      <x:c r="I387" s="16" t="str">
        <x:v>conditional</x:v>
      </x:c>
      <x:c r="J387" s="16" t="str">
        <x:v>conditional; supporting | conditional; supporting</x:v>
      </x:c>
      <x:c r="K387" s="16" t="str">
        <x:v>OWASP_LLM; NIST_AI_RMF; NIST_AI_GENAI; ISO42001; NIST_PRIVACY</x:v>
      </x:c>
      <x:c r="L387" s="16" t="str">
        <x:v>OWASP Top 10 for LLM Applications (2025); NIST AI Risk Management Framework (1.0); NIST AI RMF Generative AI Profile (1.0); ISO/IEC 42001 AI Management System (2023); NIST Privacy Framework (1.0)</x:v>
      </x:c>
      <x:c r="M387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7" s="16" t="str">
        <x:v>not_assessed</x:v>
      </x:c>
      <x:c r="O387" s="16" t="str"/>
      <x:c r="P387" s="18" t="str"/>
      <x:c r="Q387" s="16" t="str"/>
      <x:c r="R387" s="16" t="str"/>
      <x:c r="S387" s="16" t="str"/>
      <x:c r="T387" s="18" t="str"/>
      <x:c r="U387" s="16" t="str"/>
      <x:c r="V387" s="16" t="n">
        <x:v>0</x:v>
      </x:c>
    </x:row>
    <x:row r="388">
      <x:c r="A388" s="16" t="str">
        <x:v>FWPRO-AI-011</x:v>
      </x:c>
      <x:c r="B388" s="16" t="str">
        <x:v>AI</x:v>
      </x:c>
      <x:c r="C388" s="16" t="str">
        <x:v>AI/LLM/agent security (conditional)</x:v>
      </x:c>
      <x:c r="D388" s="16" t="str">
        <x:v>Log model/tool actions with redaction and reconstructable trace IDs without retaining unnecessary private content.</x:v>
      </x:c>
      <x:c r="E388" s="16" t="str">
        <x:v>Run only with the documented prerequisites, approved scope and suitable specialist method; record method, version, limitations and reviewer disposition. Control objective: Log model/tool actions with redaction and reconstructable trace IDs without retaining unnecessary private content.</x:v>
      </x:c>
      <x:c r="F388" s="16" t="str">
        <x:v>Reproducible test case, approved test account/environment, tool/version and reviewer validation.</x:v>
      </x:c>
      <x:c r="G388" s="16" t="str">
        <x:v>manual_or_specialist_tool</x:v>
      </x:c>
      <x:c r="H388" s="16" t="str">
        <x:v>P1</x:v>
      </x:c>
      <x:c r="I388" s="16" t="str">
        <x:v>conditional</x:v>
      </x:c>
      <x:c r="J388" s="16" t="str">
        <x:v>conditional; supporting | conditional; supporting</x:v>
      </x:c>
      <x:c r="K388" s="16" t="str">
        <x:v>OWASP_LLM; NIST_AI_RMF; NIST_AI_GENAI; ISO42001; NIST_PRIVACY</x:v>
      </x:c>
      <x:c r="L388" s="16" t="str">
        <x:v>OWASP Top 10 for LLM Applications (2025); NIST AI Risk Management Framework (1.0); NIST AI RMF Generative AI Profile (1.0); ISO/IEC 42001 AI Management System (2023); NIST Privacy Framework (1.0)</x:v>
      </x:c>
      <x:c r="M388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8" s="16" t="str">
        <x:v>not_assessed</x:v>
      </x:c>
      <x:c r="O388" s="16" t="str"/>
      <x:c r="P388" s="18" t="str"/>
      <x:c r="Q388" s="16" t="str"/>
      <x:c r="R388" s="16" t="str"/>
      <x:c r="S388" s="16" t="str"/>
      <x:c r="T388" s="18" t="str"/>
      <x:c r="U388" s="16" t="str"/>
      <x:c r="V388" s="16" t="n">
        <x:v>0</x:v>
      </x:c>
    </x:row>
    <x:row r="389">
      <x:c r="A389" s="16" t="str">
        <x:v>FWPRO-AI-012</x:v>
      </x:c>
      <x:c r="B389" s="16" t="str">
        <x:v>AI</x:v>
      </x:c>
      <x:c r="C389" s="16" t="str">
        <x:v>AI/LLM/agent security (conditional)</x:v>
      </x:c>
      <x:c r="D389" s="16" t="str">
        <x:v>Perform human review and incident handling for high-impact AI outputs and automated decisions.</x:v>
      </x:c>
      <x:c r="E389" s="16" t="str">
        <x:v>Run only with the documented prerequisites, approved scope and suitable specialist method; record method, version, limitations and reviewer disposition. Control objective: Perform human review and incident handling for high-impact AI outputs and automated decisions.</x:v>
      </x:c>
      <x:c r="F389" s="16" t="str">
        <x:v>Reproducible test case, approved test account/environment, tool/version and reviewer validation.</x:v>
      </x:c>
      <x:c r="G389" s="16" t="str">
        <x:v>manual_or_specialist_tool</x:v>
      </x:c>
      <x:c r="H389" s="16" t="str">
        <x:v>P1</x:v>
      </x:c>
      <x:c r="I389" s="16" t="str">
        <x:v>conditional</x:v>
      </x:c>
      <x:c r="J389" s="16" t="str">
        <x:v>conditional; supporting | conditional; supporting</x:v>
      </x:c>
      <x:c r="K389" s="16" t="str">
        <x:v>OWASP_LLM; NIST_AI_RMF; NIST_AI_GENAI; ISO42001; NIST_PRIVACY</x:v>
      </x:c>
      <x:c r="L389" s="16" t="str">
        <x:v>OWASP Top 10 for LLM Applications (2025); NIST AI Risk Management Framework (1.0); NIST AI RMF Generative AI Profile (1.0); ISO/IEC 42001 AI Management System (2023); NIST Privacy Framework (1.0)</x:v>
      </x:c>
      <x:c r="M389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89" s="16" t="str">
        <x:v>not_assessed</x:v>
      </x:c>
      <x:c r="O389" s="16" t="str"/>
      <x:c r="P389" s="18" t="str"/>
      <x:c r="Q389" s="16" t="str"/>
      <x:c r="R389" s="16" t="str"/>
      <x:c r="S389" s="16" t="str"/>
      <x:c r="T389" s="18" t="str"/>
      <x:c r="U389" s="16" t="str"/>
      <x:c r="V389" s="16" t="n">
        <x:v>0</x:v>
      </x:c>
    </x:row>
    <x:row r="390">
      <x:c r="A390" s="16" t="str">
        <x:v>FWPRO-AI-013</x:v>
      </x:c>
      <x:c r="B390" s="16" t="str">
        <x:v>AI</x:v>
      </x:c>
      <x:c r="C390" s="16" t="str">
        <x:v>AI/LLM/agent security (conditional)</x:v>
      </x:c>
      <x:c r="D390" s="16" t="str">
        <x:v>Document known limitations, evaluation datasets, misuse tests, acceptance thresholds and rollback criteria.</x:v>
      </x:c>
      <x:c r="E390" s="16" t="str">
        <x:v>Run only with the documented prerequisites, approved scope and suitable specialist method; record method, version, limitations and reviewer disposition. Control objective: Document known limitations, evaluation datasets, misuse tests, acceptance thresholds and rollback criteria.</x:v>
      </x:c>
      <x:c r="F390" s="16" t="str">
        <x:v>Reproducible test case, approved test account/environment, tool/version and reviewer validation.</x:v>
      </x:c>
      <x:c r="G390" s="16" t="str">
        <x:v>manual_or_specialist_tool</x:v>
      </x:c>
      <x:c r="H390" s="16" t="str">
        <x:v>P1</x:v>
      </x:c>
      <x:c r="I390" s="16" t="str">
        <x:v>conditional</x:v>
      </x:c>
      <x:c r="J390" s="16" t="str">
        <x:v>conditional; supporting | conditional; supporting</x:v>
      </x:c>
      <x:c r="K390" s="16" t="str">
        <x:v>OWASP_LLM; NIST_AI_RMF; NIST_AI_GENAI; ISO42001; NIST_PRIVACY</x:v>
      </x:c>
      <x:c r="L390" s="16" t="str">
        <x:v>OWASP Top 10 for LLM Applications (2025); NIST AI Risk Management Framework (1.0); NIST AI RMF Generative AI Profile (1.0); ISO/IEC 42001 AI Management System (2023); NIST Privacy Framework (1.0)</x:v>
      </x:c>
      <x:c r="M390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90" s="16" t="str">
        <x:v>not_assessed</x:v>
      </x:c>
      <x:c r="O390" s="16" t="str"/>
      <x:c r="P390" s="18" t="str"/>
      <x:c r="Q390" s="16" t="str"/>
      <x:c r="R390" s="16" t="str"/>
      <x:c r="S390" s="16" t="str"/>
      <x:c r="T390" s="18" t="str"/>
      <x:c r="U390" s="16" t="str"/>
      <x:c r="V390" s="16" t="n">
        <x:v>0</x:v>
      </x:c>
    </x:row>
    <x:row r="391">
      <x:c r="A391" s="16" t="str">
        <x:v>FWPRO-AI-014</x:v>
      </x:c>
      <x:c r="B391" s="16" t="str">
        <x:v>AI</x:v>
      </x:c>
      <x:c r="C391" s="16" t="str">
        <x:v>AI/LLM/agent security (conditional)</x:v>
      </x:c>
      <x:c r="D391" s="16" t="str">
        <x:v>Do not treat generic prompt safety filters as proof that prompt injection or data exfiltration is impossible.</x:v>
      </x:c>
      <x:c r="E391" s="16" t="str">
        <x:v>Run only with the documented prerequisites, approved scope and suitable specialist method; record method, version, limitations and reviewer disposition. Control objective: Do not treat generic prompt safety filters as proof that prompt injection or data exfiltration is impossible.</x:v>
      </x:c>
      <x:c r="F391" s="16" t="str">
        <x:v>Reproducible test case, approved test account/environment, tool/version and reviewer validation.</x:v>
      </x:c>
      <x:c r="G391" s="16" t="str">
        <x:v>manual_or_specialist_tool</x:v>
      </x:c>
      <x:c r="H391" s="16" t="str">
        <x:v>P1</x:v>
      </x:c>
      <x:c r="I391" s="16" t="str">
        <x:v>conditional</x:v>
      </x:c>
      <x:c r="J391" s="16" t="str">
        <x:v>conditional; supporting | conditional; supporting</x:v>
      </x:c>
      <x:c r="K391" s="16" t="str">
        <x:v>OWASP_LLM; NIST_AI_RMF; NIST_AI_GENAI; ISO42001; NIST_PRIVACY</x:v>
      </x:c>
      <x:c r="L391" s="16" t="str">
        <x:v>OWASP Top 10 for LLM Applications (2025); NIST AI Risk Management Framework (1.0); NIST AI RMF Generative AI Profile (1.0); ISO/IEC 42001 AI Management System (2023); NIST Privacy Framework (1.0)</x:v>
      </x:c>
      <x:c r="M391" s="16" t="str">
        <x:v>https://genai.owasp.org/llm-top-10/; https://www.nist.gov/itl/ai-risk-management-framework; https://www.nist.gov/itl/ai-risk-management-framework; https://www.iso.org/standard/81230.html; https://www.nist.gov/privacy-framework</x:v>
      </x:c>
      <x:c r="N391" s="16" t="str">
        <x:v>not_assessed</x:v>
      </x:c>
      <x:c r="O391" s="16" t="str"/>
      <x:c r="P391" s="18" t="str"/>
      <x:c r="Q391" s="16" t="str"/>
      <x:c r="R391" s="16" t="str"/>
      <x:c r="S391" s="16" t="str"/>
      <x:c r="T391" s="18" t="str"/>
      <x:c r="U391" s="16" t="str"/>
      <x:c r="V391" s="16" t="n">
        <x:v>0</x:v>
      </x:c>
    </x:row>
    <x:row r="392">
      <x:c r="A392" s="16" t="str">
        <x:v>FWPRO-SCANNER-001</x:v>
      </x:c>
      <x:c r="B392" s="16" t="str">
        <x:v>SCANNER</x:v>
      </x:c>
      <x:c r="C392" s="16" t="str">
        <x:v>Security testing product / scanner assurance</x:v>
      </x:c>
      <x:c r="D392" s="16" t="str">
        <x:v>Require a fail-closed target scope check before every network request and follow-up operation.</x:v>
      </x:c>
      <x:c r="E392" s="16" t="str">
        <x:v>Run only with the documented prerequisites, approved scope and suitable specialist method; record method, version, limitations and reviewer disposition. Control objective: Require a fail-closed target scope check before every network request and follow-up operation.</x:v>
      </x:c>
      <x:c r="F392" s="16" t="str">
        <x:v>Reviewer steps, expected/observed result, sanitized evidence, impact, reviewer and approval/ticket.</x:v>
      </x:c>
      <x:c r="G392" s="16" t="str">
        <x:v>manual_or_evidence</x:v>
      </x:c>
      <x:c r="H392" s="16" t="str">
        <x:v>P0</x:v>
      </x:c>
      <x:c r="I392" s="16" t="str">
        <x:v>core</x:v>
      </x:c>
      <x:c r="J392" s="16" t="str">
        <x:v>direct; supporting | direct; supporting</x:v>
      </x:c>
      <x:c r="K392" s="16" t="str">
        <x:v>OWASP_ASVS; OWASP_WSTG; NIST_800_115; NIST_SSDF; ISO27034; ISO27001; ISO30111; CVSS; SARIF</x:v>
      </x:c>
      <x:c r="L392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2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2" s="16" t="str">
        <x:v>not_assessed</x:v>
      </x:c>
      <x:c r="O392" s="16" t="str"/>
      <x:c r="P392" s="18" t="str"/>
      <x:c r="Q392" s="16" t="str"/>
      <x:c r="R392" s="16" t="str"/>
      <x:c r="S392" s="16" t="str"/>
      <x:c r="T392" s="18" t="str"/>
      <x:c r="U392" s="16" t="str"/>
      <x:c r="V392" s="16" t="n">
        <x:v>0</x:v>
      </x:c>
    </x:row>
    <x:row r="393">
      <x:c r="A393" s="16" t="str">
        <x:v>FWPRO-SCANNER-002</x:v>
      </x:c>
      <x:c r="B393" s="16" t="str">
        <x:v>SCANNER</x:v>
      </x:c>
      <x:c r="C393" s="16" t="str">
        <x:v>Security testing product / scanner assurance</x:v>
      </x:c>
      <x:c r="D393" s="16" t="str">
        <x:v>Revalidate scope after redirects, DNS resolution changes and browser-generated requests.</x:v>
      </x:c>
      <x:c r="E393" s="16" t="str">
        <x:v>Run only with the documented prerequisites, approved scope and suitable specialist method; record method, version, limitations and reviewer disposition. Control objective: Revalidate scope after redirects, DNS resolution changes and browser-generated requests.</x:v>
      </x:c>
      <x:c r="F393" s="16" t="str">
        <x:v>Reviewer steps, expected/observed result, sanitized evidence, impact, reviewer and approval/ticket.</x:v>
      </x:c>
      <x:c r="G393" s="16" t="str">
        <x:v>manual_or_evidence</x:v>
      </x:c>
      <x:c r="H393" s="16" t="str">
        <x:v>P0</x:v>
      </x:c>
      <x:c r="I393" s="16" t="str">
        <x:v>core</x:v>
      </x:c>
      <x:c r="J393" s="16" t="str">
        <x:v>direct; supporting | direct; supporting</x:v>
      </x:c>
      <x:c r="K393" s="16" t="str">
        <x:v>OWASP_ASVS; OWASP_WSTG; NIST_800_115; NIST_SSDF; ISO27034; ISO27001; ISO30111; CVSS; SARIF</x:v>
      </x:c>
      <x:c r="L393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3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3" s="16" t="str">
        <x:v>not_assessed</x:v>
      </x:c>
      <x:c r="O393" s="16" t="str"/>
      <x:c r="P393" s="18" t="str"/>
      <x:c r="Q393" s="16" t="str"/>
      <x:c r="R393" s="16" t="str"/>
      <x:c r="S393" s="16" t="str"/>
      <x:c r="T393" s="18" t="str"/>
      <x:c r="U393" s="16" t="str"/>
      <x:c r="V393" s="16" t="n">
        <x:v>0</x:v>
      </x:c>
    </x:row>
    <x:row r="394">
      <x:c r="A394" s="16" t="str">
        <x:v>FWPRO-SCANNER-003</x:v>
      </x:c>
      <x:c r="B394" s="16" t="str">
        <x:v>SCANNER</x:v>
      </x:c>
      <x:c r="C394" s="16" t="str">
        <x:v>Security testing product / scanner assurance</x:v>
      </x:c>
      <x:c r="D394" s="16" t="str">
        <x:v>Never forward credentials across scheme/host/port origins without an explicit separate credential profile.</x:v>
      </x:c>
      <x:c r="E394" s="16" t="str">
        <x:v>Run only with the documented prerequisites, approved scope and suitable specialist method; record method, version, limitations and reviewer disposition. Control objective: Never forward credentials across scheme/host/port origins without an explicit separate credential profile.</x:v>
      </x:c>
      <x:c r="F394" s="16" t="str">
        <x:v>Reviewer steps, expected/observed result, sanitized evidence, impact, reviewer and approval/ticket.</x:v>
      </x:c>
      <x:c r="G394" s="16" t="str">
        <x:v>manual_or_evidence</x:v>
      </x:c>
      <x:c r="H394" s="16" t="str">
        <x:v>P0</x:v>
      </x:c>
      <x:c r="I394" s="16" t="str">
        <x:v>core</x:v>
      </x:c>
      <x:c r="J394" s="16" t="str">
        <x:v>direct; supporting | direct; supporting</x:v>
      </x:c>
      <x:c r="K394" s="16" t="str">
        <x:v>OWASP_ASVS; OWASP_WSTG; NIST_800_115; NIST_SSDF; ISO27034; ISO27001; ISO30111; CVSS; SARIF</x:v>
      </x:c>
      <x:c r="L394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4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4" s="16" t="str">
        <x:v>not_assessed</x:v>
      </x:c>
      <x:c r="O394" s="16" t="str"/>
      <x:c r="P394" s="18" t="str"/>
      <x:c r="Q394" s="16" t="str"/>
      <x:c r="R394" s="16" t="str"/>
      <x:c r="S394" s="16" t="str"/>
      <x:c r="T394" s="18" t="str"/>
      <x:c r="U394" s="16" t="str"/>
      <x:c r="V394" s="16" t="n">
        <x:v>0</x:v>
      </x:c>
    </x:row>
    <x:row r="395">
      <x:c r="A395" s="16" t="str">
        <x:v>FWPRO-SCANNER-004</x:v>
      </x:c>
      <x:c r="B395" s="16" t="str">
        <x:v>SCANNER</x:v>
      </x:c>
      <x:c r="C395" s="16" t="str">
        <x:v>Security testing product / scanner assurance</x:v>
      </x:c>
      <x:c r="D395" s="16" t="str">
        <x:v>Enforce per-job rate, concurrency, page, depth, endpoint, byte and time budgets.</x:v>
      </x:c>
      <x:c r="E395" s="16" t="str">
        <x:v>Run only with the documented prerequisites, approved scope and suitable specialist method; record method, version, limitations and reviewer disposition. Control objective: Enforce per-job rate, concurrency, page, depth, endpoint, byte and time budgets.</x:v>
      </x:c>
      <x:c r="F395" s="16" t="str">
        <x:v>Reviewer steps, expected/observed result, sanitized evidence, impact, reviewer and approval/ticket.</x:v>
      </x:c>
      <x:c r="G395" s="16" t="str">
        <x:v>manual_or_evidence</x:v>
      </x:c>
      <x:c r="H395" s="16" t="str">
        <x:v>P0</x:v>
      </x:c>
      <x:c r="I395" s="16" t="str">
        <x:v>core</x:v>
      </x:c>
      <x:c r="J395" s="16" t="str">
        <x:v>direct; supporting | direct; supporting</x:v>
      </x:c>
      <x:c r="K395" s="16" t="str">
        <x:v>OWASP_ASVS; OWASP_WSTG; NIST_800_115; NIST_SSDF; ISO27034; ISO27001; ISO30111; CVSS; SARIF</x:v>
      </x:c>
      <x:c r="L395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5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5" s="16" t="str">
        <x:v>not_assessed</x:v>
      </x:c>
      <x:c r="O395" s="16" t="str"/>
      <x:c r="P395" s="18" t="str"/>
      <x:c r="Q395" s="16" t="str"/>
      <x:c r="R395" s="16" t="str"/>
      <x:c r="S395" s="16" t="str"/>
      <x:c r="T395" s="18" t="str"/>
      <x:c r="U395" s="16" t="str"/>
      <x:c r="V395" s="16" t="n">
        <x:v>0</x:v>
      </x:c>
    </x:row>
    <x:row r="396">
      <x:c r="A396" s="16" t="str">
        <x:v>FWPRO-SCANNER-005</x:v>
      </x:c>
      <x:c r="B396" s="16" t="str">
        <x:v>SCANNER</x:v>
      </x:c>
      <x:c r="C396" s="16" t="str">
        <x:v>Security testing product / scanner assurance</x:v>
      </x:c>
      <x:c r="D396" s="16" t="str">
        <x:v>Provide cancellation checkpoints and ensure canceled scans stop issuing new requests promptly.</x:v>
      </x:c>
      <x:c r="E396" s="16" t="str">
        <x:v>Run only with the documented prerequisites, approved scope and suitable specialist method; record method, version, limitations and reviewer disposition. Control objective: Provide cancellation checkpoints and ensure canceled scans stop issuing new requests promptly.</x:v>
      </x:c>
      <x:c r="F396" s="16" t="str">
        <x:v>Reviewer steps, expected/observed result, sanitized evidence, impact, reviewer and approval/ticket.</x:v>
      </x:c>
      <x:c r="G396" s="16" t="str">
        <x:v>manual_or_evidence</x:v>
      </x:c>
      <x:c r="H396" s="16" t="str">
        <x:v>P0</x:v>
      </x:c>
      <x:c r="I396" s="16" t="str">
        <x:v>core</x:v>
      </x:c>
      <x:c r="J396" s="16" t="str">
        <x:v>direct; supporting | direct; supporting</x:v>
      </x:c>
      <x:c r="K396" s="16" t="str">
        <x:v>OWASP_ASVS; OWASP_WSTG; NIST_800_115; NIST_SSDF; ISO27034; ISO27001; ISO30111; CVSS; SARIF</x:v>
      </x:c>
      <x:c r="L396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6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6" s="16" t="str">
        <x:v>not_assessed</x:v>
      </x:c>
      <x:c r="O396" s="16" t="str"/>
      <x:c r="P396" s="18" t="str"/>
      <x:c r="Q396" s="16" t="str"/>
      <x:c r="R396" s="16" t="str"/>
      <x:c r="S396" s="16" t="str"/>
      <x:c r="T396" s="18" t="str"/>
      <x:c r="U396" s="16" t="str"/>
      <x:c r="V396" s="16" t="n">
        <x:v>0</x:v>
      </x:c>
    </x:row>
    <x:row r="397">
      <x:c r="A397" s="16" t="str">
        <x:v>FWPRO-SCANNER-006</x:v>
      </x:c>
      <x:c r="B397" s="16" t="str">
        <x:v>SCANNER</x:v>
      </x:c>
      <x:c r="C397" s="16" t="str">
        <x:v>Security testing product / scanner assurance</x:v>
      </x:c>
      <x:c r="D397" s="16" t="str">
        <x:v>Redact tokens, passwords, session IDs and secret-like data before database/log/report persistence.</x:v>
      </x:c>
      <x:c r="E397" s="16" t="str">
        <x:v>Run only with the documented prerequisites, approved scope and suitable specialist method; record method, version, limitations and reviewer disposition. Control objective: Redact tokens, passwords, session IDs and secret-like data before database/log/report persistence.</x:v>
      </x:c>
      <x:c r="F397" s="16" t="str">
        <x:v>Reviewer steps, expected/observed result, sanitized evidence, impact, reviewer and approval/ticket.</x:v>
      </x:c>
      <x:c r="G397" s="16" t="str">
        <x:v>manual_or_evidence</x:v>
      </x:c>
      <x:c r="H397" s="16" t="str">
        <x:v>P0</x:v>
      </x:c>
      <x:c r="I397" s="16" t="str">
        <x:v>core</x:v>
      </x:c>
      <x:c r="J397" s="16" t="str">
        <x:v>direct; supporting | direct; supporting</x:v>
      </x:c>
      <x:c r="K397" s="16" t="str">
        <x:v>OWASP_ASVS; OWASP_WSTG; NIST_800_115; NIST_SSDF; ISO27034; ISO27001; ISO30111; CVSS; SARIF</x:v>
      </x:c>
      <x:c r="L397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7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7" s="16" t="str">
        <x:v>not_assessed</x:v>
      </x:c>
      <x:c r="O397" s="16" t="str"/>
      <x:c r="P397" s="18" t="str"/>
      <x:c r="Q397" s="16" t="str"/>
      <x:c r="R397" s="16" t="str"/>
      <x:c r="S397" s="16" t="str"/>
      <x:c r="T397" s="18" t="str"/>
      <x:c r="U397" s="16" t="str"/>
      <x:c r="V397" s="16" t="n">
        <x:v>0</x:v>
      </x:c>
    </x:row>
    <x:row r="398">
      <x:c r="A398" s="16" t="str">
        <x:v>FWPRO-SCANNER-007</x:v>
      </x:c>
      <x:c r="B398" s="16" t="str">
        <x:v>SCANNER</x:v>
      </x:c>
      <x:c r="C398" s="16" t="str">
        <x:v>Security testing product / scanner assurance</x:v>
      </x:c>
      <x:c r="D398" s="16" t="str">
        <x:v>Do not execute arbitrary shell commands or code generated by an LLM or remote target content.</x:v>
      </x:c>
      <x:c r="E398" s="16" t="str">
        <x:v>Run only with the documented prerequisites, approved scope and suitable specialist method; record method, version, limitations and reviewer disposition. Control objective: Do not execute arbitrary shell commands or code generated by an LLM or remote target content.</x:v>
      </x:c>
      <x:c r="F398" s="16" t="str">
        <x:v>Reviewer steps, expected/observed result, sanitized evidence, impact, reviewer and approval/ticket.</x:v>
      </x:c>
      <x:c r="G398" s="16" t="str">
        <x:v>manual_or_evidence</x:v>
      </x:c>
      <x:c r="H398" s="16" t="str">
        <x:v>P0</x:v>
      </x:c>
      <x:c r="I398" s="16" t="str">
        <x:v>core</x:v>
      </x:c>
      <x:c r="J398" s="16" t="str">
        <x:v>direct; supporting | direct; supporting</x:v>
      </x:c>
      <x:c r="K398" s="16" t="str">
        <x:v>OWASP_ASVS; OWASP_WSTG; NIST_800_115; NIST_SSDF; ISO27034; ISO27001; ISO30111; CVSS; SARIF</x:v>
      </x:c>
      <x:c r="L398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8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8" s="16" t="str">
        <x:v>not_assessed</x:v>
      </x:c>
      <x:c r="O398" s="16" t="str"/>
      <x:c r="P398" s="18" t="str"/>
      <x:c r="Q398" s="16" t="str"/>
      <x:c r="R398" s="16" t="str"/>
      <x:c r="S398" s="16" t="str"/>
      <x:c r="T398" s="18" t="str"/>
      <x:c r="U398" s="16" t="str"/>
      <x:c r="V398" s="16" t="n">
        <x:v>0</x:v>
      </x:c>
    </x:row>
    <x:row r="399">
      <x:c r="A399" s="16" t="str">
        <x:v>FWPRO-SCANNER-008</x:v>
      </x:c>
      <x:c r="B399" s="16" t="str">
        <x:v>SCANNER</x:v>
      </x:c>
      <x:c r="C399" s="16" t="str">
        <x:v>Security testing product / scanner assurance</x:v>
      </x:c>
      <x:c r="D399" s="16" t="str">
        <x:v>Treat target HTML, JS, headers and API specifications as untrusted input and prevent prompt/code injection into tooling.</x:v>
      </x:c>
      <x:c r="E399" s="16" t="str">
        <x:v>Run only with the documented prerequisites, approved scope and suitable specialist method; record method, version, limitations and reviewer disposition. Control objective: Treat target HTML, JS, headers and API specifications as untrusted input and prevent prompt/code injection into tooling.</x:v>
      </x:c>
      <x:c r="F399" s="16" t="str">
        <x:v>Reviewer steps, expected/observed result, sanitized evidence, impact, reviewer and approval/ticket.</x:v>
      </x:c>
      <x:c r="G399" s="16" t="str">
        <x:v>manual_or_evidence</x:v>
      </x:c>
      <x:c r="H399" s="16" t="str">
        <x:v>P0</x:v>
      </x:c>
      <x:c r="I399" s="16" t="str">
        <x:v>core</x:v>
      </x:c>
      <x:c r="J399" s="16" t="str">
        <x:v>direct; supporting | direct; supporting</x:v>
      </x:c>
      <x:c r="K399" s="16" t="str">
        <x:v>OWASP_ASVS; OWASP_WSTG; NIST_800_115; NIST_SSDF; ISO27034; ISO27001; ISO30111; CVSS; SARIF</x:v>
      </x:c>
      <x:c r="L399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399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399" s="16" t="str">
        <x:v>not_assessed</x:v>
      </x:c>
      <x:c r="O399" s="16" t="str"/>
      <x:c r="P399" s="18" t="str"/>
      <x:c r="Q399" s="16" t="str"/>
      <x:c r="R399" s="16" t="str"/>
      <x:c r="S399" s="16" t="str"/>
      <x:c r="T399" s="18" t="str"/>
      <x:c r="U399" s="16" t="str"/>
      <x:c r="V399" s="16" t="n">
        <x:v>0</x:v>
      </x:c>
    </x:row>
    <x:row r="400">
      <x:c r="A400" s="16" t="str">
        <x:v>FWPRO-SCANNER-009</x:v>
      </x:c>
      <x:c r="B400" s="16" t="str">
        <x:v>SCANNER</x:v>
      </x:c>
      <x:c r="C400" s="16" t="str">
        <x:v>Security testing product / scanner assurance</x:v>
      </x:c>
      <x:c r="D400" s="16" t="str">
        <x:v>Keep optional ZAP or specialist-tool adapters disabled by default and scope their URLs independently.</x:v>
      </x:c>
      <x:c r="E400" s="16" t="str">
        <x:v>Run only with the documented prerequisites, approved scope and suitable specialist method; record method, version, limitations and reviewer disposition. Control objective: Keep optional ZAP or specialist-tool adapters disabled by default and scope their URLs independently.</x:v>
      </x:c>
      <x:c r="F400" s="16" t="str">
        <x:v>Reviewer steps, expected/observed result, sanitized evidence, impact, reviewer and approval/ticket.</x:v>
      </x:c>
      <x:c r="G400" s="16" t="str">
        <x:v>manual_or_evidence</x:v>
      </x:c>
      <x:c r="H400" s="16" t="str">
        <x:v>P0</x:v>
      </x:c>
      <x:c r="I400" s="16" t="str">
        <x:v>core</x:v>
      </x:c>
      <x:c r="J400" s="16" t="str">
        <x:v>direct; supporting | direct; supporting</x:v>
      </x:c>
      <x:c r="K400" s="16" t="str">
        <x:v>OWASP_ASVS; OWASP_WSTG; NIST_800_115; NIST_SSDF; ISO27034; ISO27001; ISO30111; CVSS; SARIF</x:v>
      </x:c>
      <x:c r="L400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0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0" s="16" t="str">
        <x:v>not_assessed</x:v>
      </x:c>
      <x:c r="O400" s="16" t="str"/>
      <x:c r="P400" s="18" t="str"/>
      <x:c r="Q400" s="16" t="str"/>
      <x:c r="R400" s="16" t="str"/>
      <x:c r="S400" s="16" t="str"/>
      <x:c r="T400" s="18" t="str"/>
      <x:c r="U400" s="16" t="str"/>
      <x:c r="V400" s="16" t="n">
        <x:v>0</x:v>
      </x:c>
    </x:row>
    <x:row r="401">
      <x:c r="A401" s="16" t="str">
        <x:v>FWPRO-SCANNER-010</x:v>
      </x:c>
      <x:c r="B401" s="16" t="str">
        <x:v>SCANNER</x:v>
      </x:c>
      <x:c r="C401" s="16" t="str">
        <x:v>Security testing product / scanner assurance</x:v>
      </x:c>
      <x:c r="D401" s="16" t="str">
        <x:v>Use a dedicated isolated test target for E2E tests; do not point automated tests at public targets.</x:v>
      </x:c>
      <x:c r="E401" s="16" t="str">
        <x:v>Run only with the documented prerequisites, approved scope and suitable specialist method; record method, version, limitations and reviewer disposition. Control objective: Use a dedicated isolated test target for E2E tests; do not point automated tests at public targets.</x:v>
      </x:c>
      <x:c r="F401" s="16" t="str">
        <x:v>Reviewer steps, expected/observed result, sanitized evidence, impact, reviewer and approval/ticket.</x:v>
      </x:c>
      <x:c r="G401" s="16" t="str">
        <x:v>manual_or_evidence</x:v>
      </x:c>
      <x:c r="H401" s="16" t="str">
        <x:v>P0</x:v>
      </x:c>
      <x:c r="I401" s="16" t="str">
        <x:v>core</x:v>
      </x:c>
      <x:c r="J401" s="16" t="str">
        <x:v>direct; supporting | direct; supporting</x:v>
      </x:c>
      <x:c r="K401" s="16" t="str">
        <x:v>OWASP_ASVS; OWASP_WSTG; NIST_800_115; NIST_SSDF; ISO27034; ISO27001; ISO30111; CVSS; SARIF</x:v>
      </x:c>
      <x:c r="L401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1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1" s="16" t="str">
        <x:v>not_assessed</x:v>
      </x:c>
      <x:c r="O401" s="16" t="str"/>
      <x:c r="P401" s="18" t="str"/>
      <x:c r="Q401" s="16" t="str"/>
      <x:c r="R401" s="16" t="str"/>
      <x:c r="S401" s="16" t="str"/>
      <x:c r="T401" s="18" t="str"/>
      <x:c r="U401" s="16" t="str"/>
      <x:c r="V401" s="16" t="n">
        <x:v>0</x:v>
      </x:c>
    </x:row>
    <x:row r="402">
      <x:c r="A402" s="16" t="str">
        <x:v>FWPRO-SCANNER-011</x:v>
      </x:c>
      <x:c r="B402" s="16" t="str">
        <x:v>SCANNER</x:v>
      </x:c>
      <x:c r="C402" s="16" t="str">
        <x:v>Security testing product / scanner assurance</x:v>
      </x:c>
      <x:c r="D402" s="16" t="str">
        <x:v>Test HTTP client behavior for redirect, DNS/IP policy, TLS errors, decompression limits and malformed responses.</x:v>
      </x:c>
      <x:c r="E402" s="16" t="str">
        <x:v>Run only with the documented prerequisites, approved scope and suitable specialist method; record method, version, limitations and reviewer disposition. Control objective: Test HTTP client behavior for redirect, DNS/IP policy, TLS errors, decompression limits and malformed responses.</x:v>
      </x:c>
      <x:c r="F402" s="16" t="str">
        <x:v>Reviewer steps, expected/observed result, sanitized evidence, impact, reviewer and approval/ticket.</x:v>
      </x:c>
      <x:c r="G402" s="16" t="str">
        <x:v>manual_or_evidence</x:v>
      </x:c>
      <x:c r="H402" s="16" t="str">
        <x:v>P0</x:v>
      </x:c>
      <x:c r="I402" s="16" t="str">
        <x:v>core</x:v>
      </x:c>
      <x:c r="J402" s="16" t="str">
        <x:v>direct; supporting | direct; supporting</x:v>
      </x:c>
      <x:c r="K402" s="16" t="str">
        <x:v>OWASP_ASVS; OWASP_WSTG; NIST_800_115; NIST_SSDF; ISO27034; ISO27001; ISO30111; CVSS; SARIF</x:v>
      </x:c>
      <x:c r="L402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2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2" s="16" t="str">
        <x:v>not_assessed</x:v>
      </x:c>
      <x:c r="O402" s="16" t="str"/>
      <x:c r="P402" s="18" t="str"/>
      <x:c r="Q402" s="16" t="str"/>
      <x:c r="R402" s="16" t="str"/>
      <x:c r="S402" s="16" t="str"/>
      <x:c r="T402" s="18" t="str"/>
      <x:c r="U402" s="16" t="str"/>
      <x:c r="V402" s="16" t="n">
        <x:v>0</x:v>
      </x:c>
    </x:row>
    <x:row r="403">
      <x:c r="A403" s="16" t="str">
        <x:v>FWPRO-SCANNER-012</x:v>
      </x:c>
      <x:c r="B403" s="16" t="str">
        <x:v>SCANNER</x:v>
      </x:c>
      <x:c r="C403" s="16" t="str">
        <x:v>Security testing product / scanner assurance</x:v>
      </x:c>
      <x:c r="D403" s="16" t="str">
        <x:v>Store scan configuration and result provenance without storing raw credentials.</x:v>
      </x:c>
      <x:c r="E403" s="16" t="str">
        <x:v>Run only with the documented prerequisites, approved scope and suitable specialist method; record method, version, limitations and reviewer disposition. Control objective: Store scan configuration and result provenance without storing raw credentials.</x:v>
      </x:c>
      <x:c r="F403" s="16" t="str">
        <x:v>Reviewer steps, expected/observed result, sanitized evidence, impact, reviewer and approval/ticket.</x:v>
      </x:c>
      <x:c r="G403" s="16" t="str">
        <x:v>manual_or_evidence</x:v>
      </x:c>
      <x:c r="H403" s="16" t="str">
        <x:v>P0</x:v>
      </x:c>
      <x:c r="I403" s="16" t="str">
        <x:v>core</x:v>
      </x:c>
      <x:c r="J403" s="16" t="str">
        <x:v>direct; supporting | direct; supporting</x:v>
      </x:c>
      <x:c r="K403" s="16" t="str">
        <x:v>OWASP_ASVS; OWASP_WSTG; NIST_800_115; NIST_SSDF; ISO27034; ISO27001; ISO30111; CVSS; SARIF</x:v>
      </x:c>
      <x:c r="L403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3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3" s="16" t="str">
        <x:v>not_assessed</x:v>
      </x:c>
      <x:c r="O403" s="16" t="str"/>
      <x:c r="P403" s="18" t="str"/>
      <x:c r="Q403" s="16" t="str"/>
      <x:c r="R403" s="16" t="str"/>
      <x:c r="S403" s="16" t="str"/>
      <x:c r="T403" s="18" t="str"/>
      <x:c r="U403" s="16" t="str"/>
      <x:c r="V403" s="16" t="n">
        <x:v>0</x:v>
      </x:c>
    </x:row>
    <x:row r="404">
      <x:c r="A404" s="16" t="str">
        <x:v>FWPRO-SCANNER-013</x:v>
      </x:c>
      <x:c r="B404" s="16" t="str">
        <x:v>SCANNER</x:v>
      </x:c>
      <x:c r="C404" s="16" t="str">
        <x:v>Security testing product / scanner assurance</x:v>
      </x:c>
      <x:c r="D404" s="16" t="str">
        <x:v>Ensure report bundles contain only files for that scan and verify path/size/hash consistency.</x:v>
      </x:c>
      <x:c r="E404" s="16" t="str">
        <x:v>Run only with the documented prerequisites, approved scope and suitable specialist method; record method, version, limitations and reviewer disposition. Control objective: Ensure report bundles contain only files for that scan and verify path/size/hash consistency.</x:v>
      </x:c>
      <x:c r="F404" s="16" t="str">
        <x:v>Reviewer steps, expected/observed result, sanitized evidence, impact, reviewer and approval/ticket.</x:v>
      </x:c>
      <x:c r="G404" s="16" t="str">
        <x:v>manual_or_evidence</x:v>
      </x:c>
      <x:c r="H404" s="16" t="str">
        <x:v>P0</x:v>
      </x:c>
      <x:c r="I404" s="16" t="str">
        <x:v>core</x:v>
      </x:c>
      <x:c r="J404" s="16" t="str">
        <x:v>direct; supporting | direct; supporting</x:v>
      </x:c>
      <x:c r="K404" s="16" t="str">
        <x:v>OWASP_ASVS; OWASP_WSTG; NIST_800_115; NIST_SSDF; ISO27034; ISO27001; ISO30111; CVSS; SARIF</x:v>
      </x:c>
      <x:c r="L404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4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4" s="16" t="str">
        <x:v>not_assessed</x:v>
      </x:c>
      <x:c r="O404" s="16" t="str"/>
      <x:c r="P404" s="18" t="str"/>
      <x:c r="Q404" s="16" t="str"/>
      <x:c r="R404" s="16" t="str"/>
      <x:c r="S404" s="16" t="str"/>
      <x:c r="T404" s="18" t="str"/>
      <x:c r="U404" s="16" t="str"/>
      <x:c r="V404" s="16" t="n">
        <x:v>0</x:v>
      </x:c>
    </x:row>
    <x:row r="405">
      <x:c r="A405" s="16" t="str">
        <x:v>FWPRO-SCANNER-014</x:v>
      </x:c>
      <x:c r="B405" s="16" t="str">
        <x:v>SCANNER</x:v>
      </x:c>
      <x:c r="C405" s="16" t="str">
        <x:v>Security testing product / scanner assurance</x:v>
      </x:c>
      <x:c r="D405" s="16" t="str">
        <x:v>Use a stable documented finding schema with rule IDs, confidence, severity, evidence, remediation and references.</x:v>
      </x:c>
      <x:c r="E405" s="16" t="str">
        <x:v>Run only with the documented prerequisites, approved scope and suitable specialist method; record method, version, limitations and reviewer disposition. Control objective: Use a stable documented finding schema with rule IDs, confidence, severity, evidence, remediation and references.</x:v>
      </x:c>
      <x:c r="F405" s="16" t="str">
        <x:v>Reviewer steps, expected/observed result, sanitized evidence, impact, reviewer and approval/ticket.</x:v>
      </x:c>
      <x:c r="G405" s="16" t="str">
        <x:v>manual_or_evidence</x:v>
      </x:c>
      <x:c r="H405" s="16" t="str">
        <x:v>P0</x:v>
      </x:c>
      <x:c r="I405" s="16" t="str">
        <x:v>core</x:v>
      </x:c>
      <x:c r="J405" s="16" t="str">
        <x:v>direct; supporting | direct; supporting</x:v>
      </x:c>
      <x:c r="K405" s="16" t="str">
        <x:v>OWASP_ASVS; OWASP_WSTG; NIST_800_115; NIST_SSDF; ISO27034; ISO27001; ISO30111; CVSS; SARIF</x:v>
      </x:c>
      <x:c r="L405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5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5" s="16" t="str">
        <x:v>not_assessed</x:v>
      </x:c>
      <x:c r="O405" s="16" t="str"/>
      <x:c r="P405" s="18" t="str"/>
      <x:c r="Q405" s="16" t="str"/>
      <x:c r="R405" s="16" t="str"/>
      <x:c r="S405" s="16" t="str"/>
      <x:c r="T405" s="18" t="str"/>
      <x:c r="U405" s="16" t="str"/>
      <x:c r="V405" s="16" t="n">
        <x:v>0</x:v>
      </x:c>
    </x:row>
    <x:row r="406">
      <x:c r="A406" s="16" t="str">
        <x:v>FWPRO-SCANNER-015</x:v>
      </x:c>
      <x:c r="B406" s="16" t="str">
        <x:v>SCANNER</x:v>
      </x:c>
      <x:c r="C406" s="16" t="str">
        <x:v>Security testing product / scanner assurance</x:v>
      </x:c>
      <x:c r="D406" s="16" t="str">
        <x:v>Distinguish no finding, not tested, not applicable, blocked and manually required states.</x:v>
      </x:c>
      <x:c r="E406" s="16" t="str">
        <x:v>Run only with the documented prerequisites, approved scope and suitable specialist method; record method, version, limitations and reviewer disposition. Control objective: Distinguish no finding, not tested, not applicable, blocked and manually required states.</x:v>
      </x:c>
      <x:c r="F406" s="16" t="str">
        <x:v>Reviewer steps, expected/observed result, sanitized evidence, impact, reviewer and approval/ticket.</x:v>
      </x:c>
      <x:c r="G406" s="16" t="str">
        <x:v>manual_or_evidence</x:v>
      </x:c>
      <x:c r="H406" s="16" t="str">
        <x:v>P0</x:v>
      </x:c>
      <x:c r="I406" s="16" t="str">
        <x:v>core</x:v>
      </x:c>
      <x:c r="J406" s="16" t="str">
        <x:v>direct; supporting | direct; supporting</x:v>
      </x:c>
      <x:c r="K406" s="16" t="str">
        <x:v>OWASP_ASVS; OWASP_WSTG; NIST_800_115; NIST_SSDF; ISO27034; ISO27001; ISO30111; CVSS; SARIF</x:v>
      </x:c>
      <x:c r="L406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6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6" s="16" t="str">
        <x:v>not_assessed</x:v>
      </x:c>
      <x:c r="O406" s="16" t="str"/>
      <x:c r="P406" s="18" t="str"/>
      <x:c r="Q406" s="16" t="str"/>
      <x:c r="R406" s="16" t="str"/>
      <x:c r="S406" s="16" t="str"/>
      <x:c r="T406" s="18" t="str"/>
      <x:c r="U406" s="16" t="str"/>
      <x:c r="V406" s="16" t="n">
        <x:v>0</x:v>
      </x:c>
    </x:row>
    <x:row r="407">
      <x:c r="A407" s="16" t="str">
        <x:v>FWPRO-SCANNER-016</x:v>
      </x:c>
      <x:c r="B407" s="16" t="str">
        <x:v>SCANNER</x:v>
      </x:c>
      <x:c r="C407" s="16" t="str">
        <x:v>Security testing product / scanner assurance</x:v>
      </x:c>
      <x:c r="D407" s="16" t="str">
        <x:v>Track scanner version, rule-set version, dependency inventory and start/end timestamps in each report.</x:v>
      </x:c>
      <x:c r="E407" s="16" t="str">
        <x:v>Run only with the documented prerequisites, approved scope and suitable specialist method; record method, version, limitations and reviewer disposition. Control objective: Track scanner version, rule-set version, dependency inventory and start/end timestamps in each report.</x:v>
      </x:c>
      <x:c r="F407" s="16" t="str">
        <x:v>Reviewer steps, expected/observed result, sanitized evidence, impact, reviewer and approval/ticket.</x:v>
      </x:c>
      <x:c r="G407" s="16" t="str">
        <x:v>manual_or_evidence</x:v>
      </x:c>
      <x:c r="H407" s="16" t="str">
        <x:v>P0</x:v>
      </x:c>
      <x:c r="I407" s="16" t="str">
        <x:v>core</x:v>
      </x:c>
      <x:c r="J407" s="16" t="str">
        <x:v>direct; supporting | direct; supporting</x:v>
      </x:c>
      <x:c r="K407" s="16" t="str">
        <x:v>OWASP_ASVS; OWASP_WSTG; NIST_800_115; NIST_SSDF; ISO27034; ISO27001; ISO30111; CVSS; SARIF</x:v>
      </x:c>
      <x:c r="L407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7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7" s="16" t="str">
        <x:v>not_assessed</x:v>
      </x:c>
      <x:c r="O407" s="16" t="str"/>
      <x:c r="P407" s="18" t="str"/>
      <x:c r="Q407" s="16" t="str"/>
      <x:c r="R407" s="16" t="str"/>
      <x:c r="S407" s="16" t="str"/>
      <x:c r="T407" s="18" t="str"/>
      <x:c r="U407" s="16" t="str"/>
      <x:c r="V407" s="16" t="n">
        <x:v>0</x:v>
      </x:c>
    </x:row>
    <x:row r="408">
      <x:c r="A408" s="16" t="str">
        <x:v>FWPRO-SCANNER-017</x:v>
      </x:c>
      <x:c r="B408" s="16" t="str">
        <x:v>SCANNER</x:v>
      </x:c>
      <x:c r="C408" s="16" t="str">
        <x:v>Security testing product / scanner assurance</x:v>
      </x:c>
      <x:c r="D408" s="16" t="str">
        <x:v>Run static analysis, dependency audit, secret scanning and container scanning in release CI.</x:v>
      </x:c>
      <x:c r="E408" s="16" t="str">
        <x:v>Run only with the documented prerequisites, approved scope and suitable specialist method; record method, version, limitations and reviewer disposition. Control objective: Run static analysis, dependency audit, secret scanning and container scanning in release CI.</x:v>
      </x:c>
      <x:c r="F408" s="16" t="str">
        <x:v>Reviewer steps, expected/observed result, sanitized evidence, impact, reviewer and approval/ticket.</x:v>
      </x:c>
      <x:c r="G408" s="16" t="str">
        <x:v>manual_or_evidence</x:v>
      </x:c>
      <x:c r="H408" s="16" t="str">
        <x:v>P0</x:v>
      </x:c>
      <x:c r="I408" s="16" t="str">
        <x:v>core</x:v>
      </x:c>
      <x:c r="J408" s="16" t="str">
        <x:v>direct; supporting | direct; supporting</x:v>
      </x:c>
      <x:c r="K408" s="16" t="str">
        <x:v>OWASP_ASVS; OWASP_WSTG; NIST_800_115; NIST_SSDF; ISO27034; ISO27001; ISO30111; CVSS; SARIF</x:v>
      </x:c>
      <x:c r="L408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8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8" s="16" t="str">
        <x:v>not_assessed</x:v>
      </x:c>
      <x:c r="O408" s="16" t="str"/>
      <x:c r="P408" s="18" t="str"/>
      <x:c r="Q408" s="16" t="str"/>
      <x:c r="R408" s="16" t="str"/>
      <x:c r="S408" s="16" t="str"/>
      <x:c r="T408" s="18" t="str"/>
      <x:c r="U408" s="16" t="str"/>
      <x:c r="V408" s="16" t="n">
        <x:v>0</x:v>
      </x:c>
    </x:row>
    <x:row r="409">
      <x:c r="A409" s="16" t="str">
        <x:v>FWPRO-SCANNER-018</x:v>
      </x:c>
      <x:c r="B409" s="16" t="str">
        <x:v>SCANNER</x:v>
      </x:c>
      <x:c r="C409" s="16" t="str">
        <x:v>Security testing product / scanner assurance</x:v>
      </x:c>
      <x:c r="D409" s="16" t="str">
        <x:v>Document the scanner’s false-positive/false-negative limitations and do not claim complete vulnerability detection.</x:v>
      </x:c>
      <x:c r="E409" s="16" t="str">
        <x:v>Run only with the documented prerequisites, approved scope and suitable specialist method; record method, version, limitations and reviewer disposition. Control objective: Document the scanner’s false-positive/false-negative limitations and do not claim complete vulnerability detection.</x:v>
      </x:c>
      <x:c r="F409" s="16" t="str">
        <x:v>Reviewer steps, expected/observed result, sanitized evidence, impact, reviewer and approval/ticket.</x:v>
      </x:c>
      <x:c r="G409" s="16" t="str">
        <x:v>manual_or_evidence</x:v>
      </x:c>
      <x:c r="H409" s="16" t="str">
        <x:v>P0</x:v>
      </x:c>
      <x:c r="I409" s="16" t="str">
        <x:v>core</x:v>
      </x:c>
      <x:c r="J409" s="16" t="str">
        <x:v>direct; supporting | direct; supporting</x:v>
      </x:c>
      <x:c r="K409" s="16" t="str">
        <x:v>OWASP_ASVS; OWASP_WSTG; NIST_800_115; NIST_SSDF; ISO27034; ISO27001; ISO30111; CVSS; SARIF</x:v>
      </x:c>
      <x:c r="L409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09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09" s="16" t="str">
        <x:v>not_assessed</x:v>
      </x:c>
      <x:c r="O409" s="16" t="str"/>
      <x:c r="P409" s="18" t="str"/>
      <x:c r="Q409" s="16" t="str"/>
      <x:c r="R409" s="16" t="str"/>
      <x:c r="S409" s="16" t="str"/>
      <x:c r="T409" s="18" t="str"/>
      <x:c r="U409" s="16" t="str"/>
      <x:c r="V409" s="16" t="n">
        <x:v>0</x:v>
      </x:c>
    </x:row>
    <x:row r="410">
      <x:c r="A410" s="16" t="str">
        <x:v>FWPRO-SCANNER-019</x:v>
      </x:c>
      <x:c r="B410" s="16" t="str">
        <x:v>SCANNER</x:v>
      </x:c>
      <x:c r="C410" s="16" t="str">
        <x:v>Security testing product / scanner assurance</x:v>
      </x:c>
      <x:c r="D410" s="16" t="str">
        <x:v>Require independent review of new rules that can produce outbound requests or inspect sensitive content.</x:v>
      </x:c>
      <x:c r="E410" s="16" t="str">
        <x:v>Run only with the documented prerequisites, approved scope and suitable specialist method; record method, version, limitations and reviewer disposition. Control objective: Require independent review of new rules that can produce outbound requests or inspect sensitive content.</x:v>
      </x:c>
      <x:c r="F410" s="16" t="str">
        <x:v>Reviewer steps, expected/observed result, sanitized evidence, impact, reviewer and approval/ticket.</x:v>
      </x:c>
      <x:c r="G410" s="16" t="str">
        <x:v>manual_or_evidence</x:v>
      </x:c>
      <x:c r="H410" s="16" t="str">
        <x:v>P0</x:v>
      </x:c>
      <x:c r="I410" s="16" t="str">
        <x:v>core</x:v>
      </x:c>
      <x:c r="J410" s="16" t="str">
        <x:v>direct; supporting | direct; supporting</x:v>
      </x:c>
      <x:c r="K410" s="16" t="str">
        <x:v>OWASP_ASVS; OWASP_WSTG; NIST_800_115; NIST_SSDF; ISO27034; ISO27001; ISO30111; CVSS; SARIF</x:v>
      </x:c>
      <x:c r="L410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10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10" s="16" t="str">
        <x:v>not_assessed</x:v>
      </x:c>
      <x:c r="O410" s="16" t="str"/>
      <x:c r="P410" s="18" t="str"/>
      <x:c r="Q410" s="16" t="str"/>
      <x:c r="R410" s="16" t="str"/>
      <x:c r="S410" s="16" t="str"/>
      <x:c r="T410" s="18" t="str"/>
      <x:c r="U410" s="16" t="str"/>
      <x:c r="V410" s="16" t="n">
        <x:v>0</x:v>
      </x:c>
    </x:row>
    <x:row r="411">
      <x:c r="A411" s="16" t="str">
        <x:v>FWPRO-SCANNER-020</x:v>
      </x:c>
      <x:c r="B411" s="16" t="str">
        <x:v>SCANNER</x:v>
      </x:c>
      <x:c r="C411" s="16" t="str">
        <x:v>Security testing product / scanner assurance</x:v>
      </x:c>
      <x:c r="D411" s="16" t="str">
        <x:v>Ensure dashboard output escapes target-derived data and uses safe DOM rendering practices.</x:v>
      </x:c>
      <x:c r="E411" s="16" t="str">
        <x:v>Run only with the documented prerequisites, approved scope and suitable specialist method; record method, version, limitations and reviewer disposition. Control objective: Ensure dashboard output escapes target-derived data and uses safe DOM rendering practices.</x:v>
      </x:c>
      <x:c r="F411" s="16" t="str">
        <x:v>Reviewer steps, expected/observed result, sanitized evidence, impact, reviewer and approval/ticket.</x:v>
      </x:c>
      <x:c r="G411" s="16" t="str">
        <x:v>manual_or_evidence</x:v>
      </x:c>
      <x:c r="H411" s="16" t="str">
        <x:v>P0</x:v>
      </x:c>
      <x:c r="I411" s="16" t="str">
        <x:v>core</x:v>
      </x:c>
      <x:c r="J411" s="16" t="str">
        <x:v>direct; supporting | direct; supporting</x:v>
      </x:c>
      <x:c r="K411" s="16" t="str">
        <x:v>OWASP_ASVS; OWASP_WSTG; NIST_800_115; NIST_SSDF; ISO27034; ISO27001; ISO30111; CVSS; SARIF</x:v>
      </x:c>
      <x:c r="L411" s="16" t="str">
        <x:v>OWASP Application Security Verification Standard (5.0.0 (stable)); OWASP Web Security Testing Guide (v4.2 (current stable)); NIST SP 800-115 (2008 (published guide; check errata/current context)); NIST SP 800-218 Secure Software Development Framework (1.1); ISO/IEC 27034-1 Application Security (2011; reviewed/confirmed current in 2022); ISO/IEC 27001 (2022); ISO/IEC 30111 Vulnerability Handling (2019; reviewed/confirmed current in 2025); FIRST Common Vulnerability Scoring System (4.0); OASIS SARIF (2.1.0 + Approved Errata 01)</x:v>
      </x:c>
      <x:c r="M411" s="16" t="str">
        <x:v>https://owasp.org/www-project-application-security-verification-standard/; https://owasp.org/www-project-web-security-testing-guide/v42/; https://csrc.nist.gov/pubs/sp/800/115/final; https://csrc.nist.gov/pubs/sp/800/218/final; https://www.iso.org/standard/44378.html; https://www.iso.org/standard/27001; https://www.iso.org/standard/69725.html; https://www.first.org/cvss/v4.0/; https://docs.oasis-open.org/sarif/sarif/v2.1.0/errata01/os/sarif-v2.1.0-errata01-os-complete.html</x:v>
      </x:c>
      <x:c r="N411" s="16" t="str">
        <x:v>not_assessed</x:v>
      </x:c>
      <x:c r="O411" s="16" t="str"/>
      <x:c r="P411" s="18" t="str"/>
      <x:c r="Q411" s="16" t="str"/>
      <x:c r="R411" s="16" t="str"/>
      <x:c r="S411" s="16" t="str"/>
      <x:c r="T411" s="18" t="str"/>
      <x:c r="U411" s="16" t="str"/>
      <x:c r="V411" s="16" t="n">
        <x:v>0</x:v>
      </x:c>
    </x:row>
    <x:row r="412">
      <x:c r="A412" s="16" t="str">
        <x:v>FWPRO-EVIDENCE-001</x:v>
      </x:c>
      <x:c r="B412" s="16" t="str">
        <x:v>EVIDENCE</x:v>
      </x:c>
      <x:c r="C412" s="16" t="str">
        <x:v>Evidence integrity, reporting and audit trail</x:v>
      </x:c>
      <x:c r="D412" s="16" t="str">
        <x:v>Every finding identifies the test/rule version, target asset, observation time and verification mode.</x:v>
      </x:c>
      <x:c r="E412" s="16" t="str">
        <x:v>Run only with the documented prerequisites, approved scope and suitable specialist method; record method, version, limitations and reviewer disposition. Control objective: Every finding identifies the test/rule version, target asset, observation time and verification mode.</x:v>
      </x:c>
      <x:c r="F412" s="16" t="str">
        <x:v>Reviewer steps, expected/observed result, sanitized evidence, impact, reviewer and approval/ticket.</x:v>
      </x:c>
      <x:c r="G412" s="16" t="str">
        <x:v>manual_or_evidence</x:v>
      </x:c>
      <x:c r="H412" s="16" t="str">
        <x:v>P1</x:v>
      </x:c>
      <x:c r="I412" s="16" t="str">
        <x:v>core</x:v>
      </x:c>
      <x:c r="J412" s="16" t="str">
        <x:v>direct; supporting | direct; supporting</x:v>
      </x:c>
      <x:c r="K412" s="16" t="str">
        <x:v>OWASP_WSTG; NIST_800_115; NIST_800_53; ISO27001; SARIF; CVSS; ISO29147; ISO30111</x:v>
      </x:c>
      <x:c r="L412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2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2" s="16" t="str">
        <x:v>not_assessed</x:v>
      </x:c>
      <x:c r="O412" s="16" t="str"/>
      <x:c r="P412" s="18" t="str"/>
      <x:c r="Q412" s="16" t="str"/>
      <x:c r="R412" s="16" t="str"/>
      <x:c r="S412" s="16" t="str"/>
      <x:c r="T412" s="18" t="str"/>
      <x:c r="U412" s="16" t="str"/>
      <x:c r="V412" s="16" t="n">
        <x:v>0</x:v>
      </x:c>
    </x:row>
    <x:row r="413">
      <x:c r="A413" s="16" t="str">
        <x:v>FWPRO-EVIDENCE-002</x:v>
      </x:c>
      <x:c r="B413" s="16" t="str">
        <x:v>EVIDENCE</x:v>
      </x:c>
      <x:c r="C413" s="16" t="str">
        <x:v>Evidence integrity, reporting and audit trail</x:v>
      </x:c>
      <x:c r="D413" s="16" t="str">
        <x:v>Store minimum necessary sanitized evidence and redact secrets before persistence.</x:v>
      </x:c>
      <x:c r="E413" s="16" t="str">
        <x:v>Run only with the documented prerequisites, approved scope and suitable specialist method; record method, version, limitations and reviewer disposition. Control objective: Store minimum necessary sanitized evidence and redact secrets before persistence.</x:v>
      </x:c>
      <x:c r="F413" s="16" t="str">
        <x:v>Reviewer steps, expected/observed result, sanitized evidence, impact, reviewer and approval/ticket.</x:v>
      </x:c>
      <x:c r="G413" s="16" t="str">
        <x:v>manual_or_evidence</x:v>
      </x:c>
      <x:c r="H413" s="16" t="str">
        <x:v>P1</x:v>
      </x:c>
      <x:c r="I413" s="16" t="str">
        <x:v>core</x:v>
      </x:c>
      <x:c r="J413" s="16" t="str">
        <x:v>direct; supporting | direct; supporting</x:v>
      </x:c>
      <x:c r="K413" s="16" t="str">
        <x:v>OWASP_WSTG; NIST_800_115; NIST_800_53; ISO27001; SARIF; CVSS; ISO29147; ISO30111</x:v>
      </x:c>
      <x:c r="L413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3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3" s="16" t="str">
        <x:v>not_assessed</x:v>
      </x:c>
      <x:c r="O413" s="16" t="str"/>
      <x:c r="P413" s="18" t="str"/>
      <x:c r="Q413" s="16" t="str"/>
      <x:c r="R413" s="16" t="str"/>
      <x:c r="S413" s="16" t="str"/>
      <x:c r="T413" s="18" t="str"/>
      <x:c r="U413" s="16" t="str"/>
      <x:c r="V413" s="16" t="n">
        <x:v>0</x:v>
      </x:c>
    </x:row>
    <x:row r="414">
      <x:c r="A414" s="16" t="str">
        <x:v>FWPRO-EVIDENCE-003</x:v>
      </x:c>
      <x:c r="B414" s="16" t="str">
        <x:v>EVIDENCE</x:v>
      </x:c>
      <x:c r="C414" s="16" t="str">
        <x:v>Evidence integrity, reporting and audit trail</x:v>
      </x:c>
      <x:c r="D414" s="16" t="str">
        <x:v>Distinguish observed fact, hypothesis, inference and manually verified conclusion in reports.</x:v>
      </x:c>
      <x:c r="E414" s="16" t="str">
        <x:v>Run only with the documented prerequisites, approved scope and suitable specialist method; record method, version, limitations and reviewer disposition. Control objective: Distinguish observed fact, hypothesis, inference and manually verified conclusion in reports.</x:v>
      </x:c>
      <x:c r="F414" s="16" t="str">
        <x:v>Reviewer steps, expected/observed result, sanitized evidence, impact, reviewer and approval/ticket.</x:v>
      </x:c>
      <x:c r="G414" s="16" t="str">
        <x:v>manual_or_evidence</x:v>
      </x:c>
      <x:c r="H414" s="16" t="str">
        <x:v>P1</x:v>
      </x:c>
      <x:c r="I414" s="16" t="str">
        <x:v>core</x:v>
      </x:c>
      <x:c r="J414" s="16" t="str">
        <x:v>direct; supporting | direct; supporting</x:v>
      </x:c>
      <x:c r="K414" s="16" t="str">
        <x:v>OWASP_WSTG; NIST_800_115; NIST_800_53; ISO27001; SARIF; CVSS; ISO29147; ISO30111</x:v>
      </x:c>
      <x:c r="L414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4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4" s="16" t="str">
        <x:v>not_assessed</x:v>
      </x:c>
      <x:c r="O414" s="16" t="str"/>
      <x:c r="P414" s="18" t="str"/>
      <x:c r="Q414" s="16" t="str"/>
      <x:c r="R414" s="16" t="str"/>
      <x:c r="S414" s="16" t="str"/>
      <x:c r="T414" s="18" t="str"/>
      <x:c r="U414" s="16" t="str"/>
      <x:c r="V414" s="16" t="n">
        <x:v>0</x:v>
      </x:c>
    </x:row>
    <x:row r="415">
      <x:c r="A415" s="16" t="str">
        <x:v>FWPRO-EVIDENCE-004</x:v>
      </x:c>
      <x:c r="B415" s="16" t="str">
        <x:v>EVIDENCE</x:v>
      </x:c>
      <x:c r="C415" s="16" t="str">
        <x:v>Evidence integrity, reporting and audit trail</x:v>
      </x:c>
      <x:c r="D415" s="16" t="str">
        <x:v>Include expected behavior, observed behavior, impact, remediation and retest guidance.</x:v>
      </x:c>
      <x:c r="E415" s="16" t="str">
        <x:v>Run only with the documented prerequisites, approved scope and suitable specialist method; record method, version, limitations and reviewer disposition. Control objective: Include expected behavior, observed behavior, impact, remediation and retest guidance.</x:v>
      </x:c>
      <x:c r="F415" s="16" t="str">
        <x:v>Reviewer steps, expected/observed result, sanitized evidence, impact, reviewer and approval/ticket.</x:v>
      </x:c>
      <x:c r="G415" s="16" t="str">
        <x:v>manual_or_evidence</x:v>
      </x:c>
      <x:c r="H415" s="16" t="str">
        <x:v>P1</x:v>
      </x:c>
      <x:c r="I415" s="16" t="str">
        <x:v>core</x:v>
      </x:c>
      <x:c r="J415" s="16" t="str">
        <x:v>direct; supporting | direct; supporting</x:v>
      </x:c>
      <x:c r="K415" s="16" t="str">
        <x:v>OWASP_WSTG; NIST_800_115; NIST_800_53; ISO27001; SARIF; CVSS; ISO29147; ISO30111</x:v>
      </x:c>
      <x:c r="L415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5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5" s="16" t="str">
        <x:v>not_assessed</x:v>
      </x:c>
      <x:c r="O415" s="16" t="str"/>
      <x:c r="P415" s="18" t="str"/>
      <x:c r="Q415" s="16" t="str"/>
      <x:c r="R415" s="16" t="str"/>
      <x:c r="S415" s="16" t="str"/>
      <x:c r="T415" s="18" t="str"/>
      <x:c r="U415" s="16" t="str"/>
      <x:c r="V415" s="16" t="n">
        <x:v>0</x:v>
      </x:c>
    </x:row>
    <x:row r="416">
      <x:c r="A416" s="16" t="str">
        <x:v>FWPRO-EVIDENCE-005</x:v>
      </x:c>
      <x:c r="B416" s="16" t="str">
        <x:v>EVIDENCE</x:v>
      </x:c>
      <x:c r="C416" s="16" t="str">
        <x:v>Evidence integrity, reporting and audit trail</x:v>
      </x:c>
      <x:c r="D416" s="16" t="str">
        <x:v>Include coverage and untested limitations in every assessment summary.</x:v>
      </x:c>
      <x:c r="E416" s="16" t="str">
        <x:v>Run only with the documented prerequisites, approved scope and suitable specialist method; record method, version, limitations and reviewer disposition. Control objective: Include coverage and untested limitations in every assessment summary.</x:v>
      </x:c>
      <x:c r="F416" s="16" t="str">
        <x:v>Reviewer steps, expected/observed result, sanitized evidence, impact, reviewer and approval/ticket.</x:v>
      </x:c>
      <x:c r="G416" s="16" t="str">
        <x:v>manual_or_evidence</x:v>
      </x:c>
      <x:c r="H416" s="16" t="str">
        <x:v>P1</x:v>
      </x:c>
      <x:c r="I416" s="16" t="str">
        <x:v>core</x:v>
      </x:c>
      <x:c r="J416" s="16" t="str">
        <x:v>direct; supporting | direct; supporting</x:v>
      </x:c>
      <x:c r="K416" s="16" t="str">
        <x:v>OWASP_WSTG; NIST_800_115; NIST_800_53; ISO27001; SARIF; CVSS; ISO29147; ISO30111</x:v>
      </x:c>
      <x:c r="L416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6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6" s="16" t="str">
        <x:v>not_assessed</x:v>
      </x:c>
      <x:c r="O416" s="16" t="str"/>
      <x:c r="P416" s="18" t="str"/>
      <x:c r="Q416" s="16" t="str"/>
      <x:c r="R416" s="16" t="str"/>
      <x:c r="S416" s="16" t="str"/>
      <x:c r="T416" s="18" t="str"/>
      <x:c r="U416" s="16" t="str"/>
      <x:c r="V416" s="16" t="n">
        <x:v>0</x:v>
      </x:c>
    </x:row>
    <x:row r="417">
      <x:c r="A417" s="16" t="str">
        <x:v>FWPRO-EVIDENCE-006</x:v>
      </x:c>
      <x:c r="B417" s="16" t="str">
        <x:v>EVIDENCE</x:v>
      </x:c>
      <x:c r="C417" s="16" t="str">
        <x:v>Evidence integrity, reporting and audit trail</x:v>
      </x:c>
      <x:c r="D417" s="16" t="str">
        <x:v>Provide JSON schema/versioning and validate emitted report formats in CI.</x:v>
      </x:c>
      <x:c r="E417" s="16" t="str">
        <x:v>Run only with the documented prerequisites, approved scope and suitable specialist method; record method, version, limitations and reviewer disposition. Control objective: Provide JSON schema/versioning and validate emitted report formats in CI.</x:v>
      </x:c>
      <x:c r="F417" s="16" t="str">
        <x:v>Reviewer steps, expected/observed result, sanitized evidence, impact, reviewer and approval/ticket.</x:v>
      </x:c>
      <x:c r="G417" s="16" t="str">
        <x:v>manual_or_evidence</x:v>
      </x:c>
      <x:c r="H417" s="16" t="str">
        <x:v>P1</x:v>
      </x:c>
      <x:c r="I417" s="16" t="str">
        <x:v>core</x:v>
      </x:c>
      <x:c r="J417" s="16" t="str">
        <x:v>direct; supporting | direct; supporting</x:v>
      </x:c>
      <x:c r="K417" s="16" t="str">
        <x:v>OWASP_WSTG; NIST_800_115; NIST_800_53; ISO27001; SARIF; CVSS; ISO29147; ISO30111</x:v>
      </x:c>
      <x:c r="L417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7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7" s="16" t="str">
        <x:v>not_assessed</x:v>
      </x:c>
      <x:c r="O417" s="16" t="str"/>
      <x:c r="P417" s="18" t="str"/>
      <x:c r="Q417" s="16" t="str"/>
      <x:c r="R417" s="16" t="str"/>
      <x:c r="S417" s="16" t="str"/>
      <x:c r="T417" s="18" t="str"/>
      <x:c r="U417" s="16" t="str"/>
      <x:c r="V417" s="16" t="n">
        <x:v>0</x:v>
      </x:c>
    </x:row>
    <x:row r="418">
      <x:c r="A418" s="16" t="str">
        <x:v>FWPRO-EVIDENCE-007</x:v>
      </x:c>
      <x:c r="B418" s="16" t="str">
        <x:v>EVIDENCE</x:v>
      </x:c>
      <x:c r="C418" s="16" t="str">
        <x:v>Evidence integrity, reporting and audit trail</x:v>
      </x:c>
      <x:c r="D418" s="16" t="str">
        <x:v>Escape HTML/Markdown and neutralize CSV formula injection in export paths.</x:v>
      </x:c>
      <x:c r="E418" s="16" t="str">
        <x:v>Run only with the documented prerequisites, approved scope and suitable specialist method; record method, version, limitations and reviewer disposition. Control objective: Escape HTML/Markdown and neutralize CSV formula injection in export paths.</x:v>
      </x:c>
      <x:c r="F418" s="16" t="str">
        <x:v>Reviewer steps, expected/observed result, sanitized evidence, impact, reviewer and approval/ticket.</x:v>
      </x:c>
      <x:c r="G418" s="16" t="str">
        <x:v>manual_or_evidence</x:v>
      </x:c>
      <x:c r="H418" s="16" t="str">
        <x:v>P1</x:v>
      </x:c>
      <x:c r="I418" s="16" t="str">
        <x:v>core</x:v>
      </x:c>
      <x:c r="J418" s="16" t="str">
        <x:v>direct; supporting | direct; supporting</x:v>
      </x:c>
      <x:c r="K418" s="16" t="str">
        <x:v>OWASP_WSTG; NIST_800_115; NIST_800_53; ISO27001; SARIF; CVSS; ISO29147; ISO30111</x:v>
      </x:c>
      <x:c r="L418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8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8" s="16" t="str">
        <x:v>not_assessed</x:v>
      </x:c>
      <x:c r="O418" s="16" t="str"/>
      <x:c r="P418" s="18" t="str"/>
      <x:c r="Q418" s="16" t="str"/>
      <x:c r="R418" s="16" t="str"/>
      <x:c r="S418" s="16" t="str"/>
      <x:c r="T418" s="18" t="str"/>
      <x:c r="U418" s="16" t="str"/>
      <x:c r="V418" s="16" t="n">
        <x:v>0</x:v>
      </x:c>
    </x:row>
    <x:row r="419">
      <x:c r="A419" s="16" t="str">
        <x:v>FWPRO-EVIDENCE-008</x:v>
      </x:c>
      <x:c r="B419" s="16" t="str">
        <x:v>EVIDENCE</x:v>
      </x:c>
      <x:c r="C419" s="16" t="str">
        <x:v>Evidence integrity, reporting and audit trail</x:v>
      </x:c>
      <x:c r="D419" s="16" t="str">
        <x:v>Validate SARIF output with schema and preserve correct rule metadata and result locations.</x:v>
      </x:c>
      <x:c r="E419" s="16" t="str">
        <x:v>Run only with the documented prerequisites, approved scope and suitable specialist method; record method, version, limitations and reviewer disposition. Control objective: Validate SARIF output with schema and preserve correct rule metadata and result locations.</x:v>
      </x:c>
      <x:c r="F419" s="16" t="str">
        <x:v>Reviewer steps, expected/observed result, sanitized evidence, impact, reviewer and approval/ticket.</x:v>
      </x:c>
      <x:c r="G419" s="16" t="str">
        <x:v>manual_or_evidence</x:v>
      </x:c>
      <x:c r="H419" s="16" t="str">
        <x:v>P1</x:v>
      </x:c>
      <x:c r="I419" s="16" t="str">
        <x:v>core</x:v>
      </x:c>
      <x:c r="J419" s="16" t="str">
        <x:v>direct; supporting | direct; supporting</x:v>
      </x:c>
      <x:c r="K419" s="16" t="str">
        <x:v>OWASP_WSTG; NIST_800_115; NIST_800_53; ISO27001; SARIF; CVSS; ISO29147; ISO30111</x:v>
      </x:c>
      <x:c r="L419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19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19" s="16" t="str">
        <x:v>not_assessed</x:v>
      </x:c>
      <x:c r="O419" s="16" t="str"/>
      <x:c r="P419" s="18" t="str"/>
      <x:c r="Q419" s="16" t="str"/>
      <x:c r="R419" s="16" t="str"/>
      <x:c r="S419" s="16" t="str"/>
      <x:c r="T419" s="18" t="str"/>
      <x:c r="U419" s="16" t="str"/>
      <x:c r="V419" s="16" t="n">
        <x:v>0</x:v>
      </x:c>
    </x:row>
    <x:row r="420">
      <x:c r="A420" s="16" t="str">
        <x:v>FWPRO-EVIDENCE-009</x:v>
      </x:c>
      <x:c r="B420" s="16" t="str">
        <x:v>EVIDENCE</x:v>
      </x:c>
      <x:c r="C420" s="16" t="str">
        <x:v>Evidence integrity, reporting and audit trail</x:v>
      </x:c>
      <x:c r="D420" s="16" t="str">
        <x:v>Include SHA-256 manifest entries for report bundles and clearly label unsigned manifests.</x:v>
      </x:c>
      <x:c r="E420" s="16" t="str">
        <x:v>Run only with the documented prerequisites, approved scope and suitable specialist method; record method, version, limitations and reviewer disposition. Control objective: Include SHA-256 manifest entries for report bundles and clearly label unsigned manifests.</x:v>
      </x:c>
      <x:c r="F420" s="16" t="str">
        <x:v>Reviewer steps, expected/observed result, sanitized evidence, impact, reviewer and approval/ticket.</x:v>
      </x:c>
      <x:c r="G420" s="16" t="str">
        <x:v>manual_or_evidence</x:v>
      </x:c>
      <x:c r="H420" s="16" t="str">
        <x:v>P1</x:v>
      </x:c>
      <x:c r="I420" s="16" t="str">
        <x:v>core</x:v>
      </x:c>
      <x:c r="J420" s="16" t="str">
        <x:v>direct; supporting | direct; supporting</x:v>
      </x:c>
      <x:c r="K420" s="16" t="str">
        <x:v>OWASP_WSTG; NIST_800_115; NIST_800_53; ISO27001; SARIF; CVSS; ISO29147; ISO30111</x:v>
      </x:c>
      <x:c r="L420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20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20" s="16" t="str">
        <x:v>not_assessed</x:v>
      </x:c>
      <x:c r="O420" s="16" t="str"/>
      <x:c r="P420" s="18" t="str"/>
      <x:c r="Q420" s="16" t="str"/>
      <x:c r="R420" s="16" t="str"/>
      <x:c r="S420" s="16" t="str"/>
      <x:c r="T420" s="18" t="str"/>
      <x:c r="U420" s="16" t="str"/>
      <x:c r="V420" s="16" t="n">
        <x:v>0</x:v>
      </x:c>
    </x:row>
    <x:row r="421">
      <x:c r="A421" s="16" t="str">
        <x:v>FWPRO-EVIDENCE-010</x:v>
      </x:c>
      <x:c r="B421" s="16" t="str">
        <x:v>EVIDENCE</x:v>
      </x:c>
      <x:c r="C421" s="16" t="str">
        <x:v>Evidence integrity, reporting and audit trail</x:v>
      </x:c>
      <x:c r="D421" s="16" t="str">
        <x:v>Protect reports using access control, transport security, retention limits and auditable download events.</x:v>
      </x:c>
      <x:c r="E421" s="16" t="str">
        <x:v>Run only with the documented prerequisites, approved scope and suitable specialist method; record method, version, limitations and reviewer disposition. Control objective: Protect reports using access control, transport security, retention limits and auditable download events.</x:v>
      </x:c>
      <x:c r="F421" s="16" t="str">
        <x:v>Reviewer steps, expected/observed result, sanitized evidence, impact, reviewer and approval/ticket.</x:v>
      </x:c>
      <x:c r="G421" s="16" t="str">
        <x:v>manual_or_evidence</x:v>
      </x:c>
      <x:c r="H421" s="16" t="str">
        <x:v>P1</x:v>
      </x:c>
      <x:c r="I421" s="16" t="str">
        <x:v>core</x:v>
      </x:c>
      <x:c r="J421" s="16" t="str">
        <x:v>direct; supporting | direct; supporting</x:v>
      </x:c>
      <x:c r="K421" s="16" t="str">
        <x:v>OWASP_WSTG; NIST_800_115; NIST_800_53; ISO27001; SARIF; CVSS; ISO29147; ISO30111</x:v>
      </x:c>
      <x:c r="L421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21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21" s="16" t="str">
        <x:v>not_assessed</x:v>
      </x:c>
      <x:c r="O421" s="16" t="str"/>
      <x:c r="P421" s="18" t="str"/>
      <x:c r="Q421" s="16" t="str"/>
      <x:c r="R421" s="16" t="str"/>
      <x:c r="S421" s="16" t="str"/>
      <x:c r="T421" s="18" t="str"/>
      <x:c r="U421" s="16" t="str"/>
      <x:c r="V421" s="16" t="n">
        <x:v>0</x:v>
      </x:c>
    </x:row>
    <x:row r="422">
      <x:c r="A422" s="16" t="str">
        <x:v>FWPRO-EVIDENCE-011</x:v>
      </x:c>
      <x:c r="B422" s="16" t="str">
        <x:v>EVIDENCE</x:v>
      </x:c>
      <x:c r="C422" s="16" t="str">
        <x:v>Evidence integrity, reporting and audit trail</x:v>
      </x:c>
      <x:c r="D422" s="16" t="str">
        <x:v>Maintain an audit trail for finding state changes and standards-checklist decisions.</x:v>
      </x:c>
      <x:c r="E422" s="16" t="str">
        <x:v>Run only with the documented prerequisites, approved scope and suitable specialist method; record method, version, limitations and reviewer disposition. Control objective: Maintain an audit trail for finding state changes and standards-checklist decisions.</x:v>
      </x:c>
      <x:c r="F422" s="16" t="str">
        <x:v>Reviewer steps, expected/observed result, sanitized evidence, impact, reviewer and approval/ticket.</x:v>
      </x:c>
      <x:c r="G422" s="16" t="str">
        <x:v>manual_or_evidence</x:v>
      </x:c>
      <x:c r="H422" s="16" t="str">
        <x:v>P1</x:v>
      </x:c>
      <x:c r="I422" s="16" t="str">
        <x:v>core</x:v>
      </x:c>
      <x:c r="J422" s="16" t="str">
        <x:v>direct; supporting | direct; supporting</x:v>
      </x:c>
      <x:c r="K422" s="16" t="str">
        <x:v>OWASP_WSTG; NIST_800_115; NIST_800_53; ISO27001; SARIF; CVSS; ISO29147; ISO30111</x:v>
      </x:c>
      <x:c r="L422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22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22" s="16" t="str">
        <x:v>not_assessed</x:v>
      </x:c>
      <x:c r="O422" s="16" t="str"/>
      <x:c r="P422" s="18" t="str"/>
      <x:c r="Q422" s="16" t="str"/>
      <x:c r="R422" s="16" t="str"/>
      <x:c r="S422" s="16" t="str"/>
      <x:c r="T422" s="18" t="str"/>
      <x:c r="U422" s="16" t="str"/>
      <x:c r="V422" s="16" t="n">
        <x:v>0</x:v>
      </x:c>
    </x:row>
    <x:row r="423">
      <x:c r="A423" s="16" t="str">
        <x:v>FWPRO-EVIDENCE-012</x:v>
      </x:c>
      <x:c r="B423" s="16" t="str">
        <x:v>EVIDENCE</x:v>
      </x:c>
      <x:c r="C423" s="16" t="str">
        <x:v>Evidence integrity, reporting and audit trail</x:v>
      </x:c>
      <x:c r="D423" s="16" t="str">
        <x:v>Require reviewer/approver details and rationale for high-severity closure or risk acceptance.</x:v>
      </x:c>
      <x:c r="E423" s="16" t="str">
        <x:v>Run only with the documented prerequisites, approved scope and suitable specialist method; record method, version, limitations and reviewer disposition. Control objective: Require reviewer/approver details and rationale for high-severity closure or risk acceptance.</x:v>
      </x:c>
      <x:c r="F423" s="16" t="str">
        <x:v>Reviewer steps, expected/observed result, sanitized evidence, impact, reviewer and approval/ticket.</x:v>
      </x:c>
      <x:c r="G423" s="16" t="str">
        <x:v>manual_or_evidence</x:v>
      </x:c>
      <x:c r="H423" s="16" t="str">
        <x:v>P1</x:v>
      </x:c>
      <x:c r="I423" s="16" t="str">
        <x:v>core</x:v>
      </x:c>
      <x:c r="J423" s="16" t="str">
        <x:v>direct; supporting | direct; supporting</x:v>
      </x:c>
      <x:c r="K423" s="16" t="str">
        <x:v>OWASP_WSTG; NIST_800_115; NIST_800_53; ISO27001; SARIF; CVSS; ISO29147; ISO30111</x:v>
      </x:c>
      <x:c r="L423" s="16" t="str">
        <x:v>OWASP Web Security Testing Guide (v4.2 (current stable)); NIST SP 800-115 (2008 (published guide; check errata/current context)); NIST SP 800-53 Security and Privacy Controls (Rev. 5 + current errata); ISO/IEC 27001 (2022); OASIS SARIF (2.1.0 + Approved Errata 01); FIRST Common Vulnerability Scoring System (4.0); ISO/IEC 29147 Vulnerability Disclosure (2018; reviewed/confirmed current in 2024); ISO/IEC 30111 Vulnerability Handling (2019; reviewed/confirmed current in 2025)</x:v>
      </x:c>
      <x:c r="M423" s="16" t="str">
        <x:v>https://owasp.org/www-project-web-security-testing-guide/v42/; https://csrc.nist.gov/pubs/sp/800/115/final; https://csrc.nist.gov/pubs/sp/800/53/r5/upd1/final; https://www.iso.org/standard/27001; https://docs.oasis-open.org/sarif/sarif/v2.1.0/errata01/os/sarif-v2.1.0-errata01-os-complete.html; https://www.first.org/cvss/v4.0/; https://www.iso.org/standard/72311.html; https://www.iso.org/standard/69725.html</x:v>
      </x:c>
      <x:c r="N423" s="16" t="str">
        <x:v>not_assessed</x:v>
      </x:c>
      <x:c r="O423" s="16" t="str"/>
      <x:c r="P423" s="18" t="str"/>
      <x:c r="Q423" s="16" t="str"/>
      <x:c r="R423" s="16" t="str"/>
      <x:c r="S423" s="16" t="str"/>
      <x:c r="T423" s="18" t="str"/>
      <x:c r="U423" s="16" t="str"/>
      <x:c r="V423" s="16" t="n">
        <x:v>0</x:v>
      </x:c>
    </x:row>
    <x:row r="424">
      <x:c r="A424" s="16" t="str">
        <x:v>FWPRO-STANDARDS-001</x:v>
      </x:c>
      <x:c r="B424" s="16" t="str">
        <x:v>STANDARDS</x:v>
      </x:c>
      <x:c r="C424" s="16" t="str">
        <x:v>Standards mapping and conformity governance</x:v>
      </x:c>
      <x:c r="D424" s="16" t="str">
        <x:v>Record each framework version and the official source URL used for the assessment baseline.</x:v>
      </x:c>
      <x:c r="E424" s="16" t="str">
        <x:v>Run only with the documented prerequisites, approved scope and suitable specialist method; record method, version, limitations and reviewer disposition. Control objective: Record each framework version and the official source URL used for the assessment baseline.</x:v>
      </x:c>
      <x:c r="F424" s="16" t="str">
        <x:v>Reviewer steps, expected/observed result, sanitized evidence, impact, reviewer and approval/ticket.</x:v>
      </x:c>
      <x:c r="G424" s="16" t="str">
        <x:v>manual_or_evidence</x:v>
      </x:c>
      <x:c r="H424" s="16" t="str">
        <x:v>P1</x:v>
      </x:c>
      <x:c r="I424" s="16" t="str">
        <x:v>core</x:v>
      </x:c>
      <x:c r="J424" s="16" t="str">
        <x:v>direct; supporting | direct; supporting</x:v>
      </x:c>
      <x:c r="K424" s="16" t="str">
        <x:v>OWASP_ASVS; OWASP_WSTG; OWASP_TOP10; OWASP_API; NIST_CSF; ISO27001; ISO27002; ISO31000</x:v>
      </x:c>
      <x:c r="L424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24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24" s="16" t="str">
        <x:v>not_assessed</x:v>
      </x:c>
      <x:c r="O424" s="16" t="str"/>
      <x:c r="P424" s="18" t="str"/>
      <x:c r="Q424" s="16" t="str"/>
      <x:c r="R424" s="16" t="str"/>
      <x:c r="S424" s="16" t="str"/>
      <x:c r="T424" s="18" t="str"/>
      <x:c r="U424" s="16" t="str"/>
      <x:c r="V424" s="16" t="n">
        <x:v>0</x:v>
      </x:c>
    </x:row>
    <x:row r="425">
      <x:c r="A425" s="16" t="str">
        <x:v>FWPRO-STANDARDS-002</x:v>
      </x:c>
      <x:c r="B425" s="16" t="str">
        <x:v>STANDARDS</x:v>
      </x:c>
      <x:c r="C425" s="16" t="str">
        <x:v>Standards mapping and conformity governance</x:v>
      </x:c>
      <x:c r="D425" s="16" t="str">
        <x:v>Keep direct standards, guidance, legal obligations and adjacent references explicitly distinguished.</x:v>
      </x:c>
      <x:c r="E425" s="16" t="str">
        <x:v>Run only with the documented prerequisites, approved scope and suitable specialist method; record method, version, limitations and reviewer disposition. Control objective: Keep direct standards, guidance, legal obligations and adjacent references explicitly distinguished.</x:v>
      </x:c>
      <x:c r="F425" s="16" t="str">
        <x:v>Reviewer steps, expected/observed result, sanitized evidence, impact, reviewer and approval/ticket.</x:v>
      </x:c>
      <x:c r="G425" s="16" t="str">
        <x:v>manual_or_evidence</x:v>
      </x:c>
      <x:c r="H425" s="16" t="str">
        <x:v>P1</x:v>
      </x:c>
      <x:c r="I425" s="16" t="str">
        <x:v>core</x:v>
      </x:c>
      <x:c r="J425" s="16" t="str">
        <x:v>direct; supporting | direct; supporting</x:v>
      </x:c>
      <x:c r="K425" s="16" t="str">
        <x:v>OWASP_ASVS; OWASP_WSTG; OWASP_TOP10; OWASP_API; NIST_CSF; ISO27001; ISO27002; ISO31000</x:v>
      </x:c>
      <x:c r="L425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25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25" s="16" t="str">
        <x:v>not_assessed</x:v>
      </x:c>
      <x:c r="O425" s="16" t="str"/>
      <x:c r="P425" s="18" t="str"/>
      <x:c r="Q425" s="16" t="str"/>
      <x:c r="R425" s="16" t="str"/>
      <x:c r="S425" s="16" t="str"/>
      <x:c r="T425" s="18" t="str"/>
      <x:c r="U425" s="16" t="str"/>
      <x:c r="V425" s="16" t="n">
        <x:v>0</x:v>
      </x:c>
    </x:row>
    <x:row r="426">
      <x:c r="A426" s="16" t="str">
        <x:v>FWPRO-STANDARDS-003</x:v>
      </x:c>
      <x:c r="B426" s="16" t="str">
        <x:v>STANDARDS</x:v>
      </x:c>
      <x:c r="C426" s="16" t="str">
        <x:v>Standards mapping and conformity governance</x:v>
      </x:c>
      <x:c r="D426" s="16" t="str">
        <x:v>Use stable local checklist IDs and preserve official clause identifiers only where independently verified.</x:v>
      </x:c>
      <x:c r="E426" s="16" t="str">
        <x:v>Run only with the documented prerequisites, approved scope and suitable specialist method; record method, version, limitations and reviewer disposition. Control objective: Use stable local checklist IDs and preserve official clause identifiers only where independently verified.</x:v>
      </x:c>
      <x:c r="F426" s="16" t="str">
        <x:v>Reviewer steps, expected/observed result, sanitized evidence, impact, reviewer and approval/ticket.</x:v>
      </x:c>
      <x:c r="G426" s="16" t="str">
        <x:v>manual_or_evidence</x:v>
      </x:c>
      <x:c r="H426" s="16" t="str">
        <x:v>P1</x:v>
      </x:c>
      <x:c r="I426" s="16" t="str">
        <x:v>core</x:v>
      </x:c>
      <x:c r="J426" s="16" t="str">
        <x:v>direct; supporting | direct; supporting</x:v>
      </x:c>
      <x:c r="K426" s="16" t="str">
        <x:v>OWASP_ASVS; OWASP_WSTG; OWASP_TOP10; OWASP_API; NIST_CSF; ISO27001; ISO27002; ISO31000</x:v>
      </x:c>
      <x:c r="L426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26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26" s="16" t="str">
        <x:v>not_assessed</x:v>
      </x:c>
      <x:c r="O426" s="16" t="str"/>
      <x:c r="P426" s="18" t="str"/>
      <x:c r="Q426" s="16" t="str"/>
      <x:c r="R426" s="16" t="str"/>
      <x:c r="S426" s="16" t="str"/>
      <x:c r="T426" s="18" t="str"/>
      <x:c r="U426" s="16" t="str"/>
      <x:c r="V426" s="16" t="n">
        <x:v>0</x:v>
      </x:c>
    </x:row>
    <x:row r="427">
      <x:c r="A427" s="16" t="str">
        <x:v>FWPRO-STANDARDS-004</x:v>
      </x:c>
      <x:c r="B427" s="16" t="str">
        <x:v>STANDARDS</x:v>
      </x:c>
      <x:c r="C427" s="16" t="str">
        <x:v>Standards mapping and conformity governance</x:v>
      </x:c>
      <x:c r="D427" s="16" t="str">
        <x:v>Map each checklist item to one or more framework families with a documented mapping rationale.</x:v>
      </x:c>
      <x:c r="E427" s="16" t="str">
        <x:v>Run only with the documented prerequisites, approved scope and suitable specialist method; record method, version, limitations and reviewer disposition. Control objective: Map each checklist item to one or more framework families with a documented mapping rationale.</x:v>
      </x:c>
      <x:c r="F427" s="16" t="str">
        <x:v>Reviewer steps, expected/observed result, sanitized evidence, impact, reviewer and approval/ticket.</x:v>
      </x:c>
      <x:c r="G427" s="16" t="str">
        <x:v>manual_or_evidence</x:v>
      </x:c>
      <x:c r="H427" s="16" t="str">
        <x:v>P1</x:v>
      </x:c>
      <x:c r="I427" s="16" t="str">
        <x:v>core</x:v>
      </x:c>
      <x:c r="J427" s="16" t="str">
        <x:v>direct; supporting | direct; supporting</x:v>
      </x:c>
      <x:c r="K427" s="16" t="str">
        <x:v>OWASP_ASVS; OWASP_WSTG; OWASP_TOP10; OWASP_API; NIST_CSF; ISO27001; ISO27002; ISO31000</x:v>
      </x:c>
      <x:c r="L427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27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27" s="16" t="str">
        <x:v>not_assessed</x:v>
      </x:c>
      <x:c r="O427" s="16" t="str"/>
      <x:c r="P427" s="18" t="str"/>
      <x:c r="Q427" s="16" t="str"/>
      <x:c r="R427" s="16" t="str"/>
      <x:c r="S427" s="16" t="str"/>
      <x:c r="T427" s="18" t="str"/>
      <x:c r="U427" s="16" t="str"/>
      <x:c r="V427" s="16" t="n">
        <x:v>0</x:v>
      </x:c>
    </x:row>
    <x:row r="428">
      <x:c r="A428" s="16" t="str">
        <x:v>FWPRO-STANDARDS-005</x:v>
      </x:c>
      <x:c r="B428" s="16" t="str">
        <x:v>STANDARDS</x:v>
      </x:c>
      <x:c r="C428" s="16" t="str">
        <x:v>Standards mapping and conformity governance</x:v>
      </x:c>
      <x:c r="D428" s="16" t="str">
        <x:v>Record applicability decision, scope rationale and approver for every conditional control.</x:v>
      </x:c>
      <x:c r="E428" s="16" t="str">
        <x:v>Run only with the documented prerequisites, approved scope and suitable specialist method; record method, version, limitations and reviewer disposition. Control objective: Record applicability decision, scope rationale and approver for every conditional control.</x:v>
      </x:c>
      <x:c r="F428" s="16" t="str">
        <x:v>Reviewer steps, expected/observed result, sanitized evidence, impact, reviewer and approval/ticket.</x:v>
      </x:c>
      <x:c r="G428" s="16" t="str">
        <x:v>manual_or_evidence</x:v>
      </x:c>
      <x:c r="H428" s="16" t="str">
        <x:v>P1</x:v>
      </x:c>
      <x:c r="I428" s="16" t="str">
        <x:v>core</x:v>
      </x:c>
      <x:c r="J428" s="16" t="str">
        <x:v>direct; supporting | direct; supporting</x:v>
      </x:c>
      <x:c r="K428" s="16" t="str">
        <x:v>OWASP_ASVS; OWASP_WSTG; OWASP_TOP10; OWASP_API; NIST_CSF; ISO27001; ISO27002; ISO31000</x:v>
      </x:c>
      <x:c r="L428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28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28" s="16" t="str">
        <x:v>not_assessed</x:v>
      </x:c>
      <x:c r="O428" s="16" t="str"/>
      <x:c r="P428" s="18" t="str"/>
      <x:c r="Q428" s="16" t="str"/>
      <x:c r="R428" s="16" t="str"/>
      <x:c r="S428" s="16" t="str"/>
      <x:c r="T428" s="18" t="str"/>
      <x:c r="U428" s="16" t="str"/>
      <x:c r="V428" s="16" t="n">
        <x:v>0</x:v>
      </x:c>
    </x:row>
    <x:row r="429">
      <x:c r="A429" s="16" t="str">
        <x:v>FWPRO-STANDARDS-006</x:v>
      </x:c>
      <x:c r="B429" s="16" t="str">
        <x:v>STANDARDS</x:v>
      </x:c>
      <x:c r="C429" s="16" t="str">
        <x:v>Standards mapping and conformity governance</x:v>
      </x:c>
      <x:c r="D429" s="16" t="str">
        <x:v>Maintain status states for not assessed, compliant, partially compliant, non-compliant, not applicable, blocked and evidence pending.</x:v>
      </x:c>
      <x:c r="E429" s="16" t="str">
        <x:v>Run only with the documented prerequisites, approved scope and suitable specialist method; record method, version, limitations and reviewer disposition. Control objective: Maintain status states for not assessed, compliant, partially compliant, non-compliant, not applicable, blocked and evidence pending.</x:v>
      </x:c>
      <x:c r="F429" s="16" t="str">
        <x:v>Reviewer steps, expected/observed result, sanitized evidence, impact, reviewer and approval/ticket.</x:v>
      </x:c>
      <x:c r="G429" s="16" t="str">
        <x:v>manual_or_evidence</x:v>
      </x:c>
      <x:c r="H429" s="16" t="str">
        <x:v>P1</x:v>
      </x:c>
      <x:c r="I429" s="16" t="str">
        <x:v>core</x:v>
      </x:c>
      <x:c r="J429" s="16" t="str">
        <x:v>direct; supporting | direct; supporting</x:v>
      </x:c>
      <x:c r="K429" s="16" t="str">
        <x:v>OWASP_ASVS; OWASP_WSTG; OWASP_TOP10; OWASP_API; NIST_CSF; ISO27001; ISO27002; ISO31000</x:v>
      </x:c>
      <x:c r="L429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29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29" s="16" t="str">
        <x:v>not_assessed</x:v>
      </x:c>
      <x:c r="O429" s="16" t="str"/>
      <x:c r="P429" s="18" t="str"/>
      <x:c r="Q429" s="16" t="str"/>
      <x:c r="R429" s="16" t="str"/>
      <x:c r="S429" s="16" t="str"/>
      <x:c r="T429" s="18" t="str"/>
      <x:c r="U429" s="16" t="str"/>
      <x:c r="V429" s="16" t="n">
        <x:v>0</x:v>
      </x:c>
    </x:row>
    <x:row r="430">
      <x:c r="A430" s="16" t="str">
        <x:v>FWPRO-STANDARDS-007</x:v>
      </x:c>
      <x:c r="B430" s="16" t="str">
        <x:v>STANDARDS</x:v>
      </x:c>
      <x:c r="C430" s="16" t="str">
        <x:v>Standards mapping and conformity governance</x:v>
      </x:c>
      <x:c r="D430" s="16" t="str">
        <x:v>Require evidence and reviewer identity before a control can be marked compliant.</x:v>
      </x:c>
      <x:c r="E430" s="16" t="str">
        <x:v>Run only with the documented prerequisites, approved scope and suitable specialist method; record method, version, limitations and reviewer disposition. Control objective: Require evidence and reviewer identity before a control can be marked compliant.</x:v>
      </x:c>
      <x:c r="F430" s="16" t="str">
        <x:v>Reviewer steps, expected/observed result, sanitized evidence, impact, reviewer and approval/ticket.</x:v>
      </x:c>
      <x:c r="G430" s="16" t="str">
        <x:v>manual_or_evidence</x:v>
      </x:c>
      <x:c r="H430" s="16" t="str">
        <x:v>P1</x:v>
      </x:c>
      <x:c r="I430" s="16" t="str">
        <x:v>core</x:v>
      </x:c>
      <x:c r="J430" s="16" t="str">
        <x:v>direct; supporting | direct; supporting</x:v>
      </x:c>
      <x:c r="K430" s="16" t="str">
        <x:v>OWASP_ASVS; OWASP_WSTG; OWASP_TOP10; OWASP_API; NIST_CSF; ISO27001; ISO27002; ISO31000</x:v>
      </x:c>
      <x:c r="L430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30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30" s="16" t="str">
        <x:v>not_assessed</x:v>
      </x:c>
      <x:c r="O430" s="16" t="str"/>
      <x:c r="P430" s="18" t="str"/>
      <x:c r="Q430" s="16" t="str"/>
      <x:c r="R430" s="16" t="str"/>
      <x:c r="S430" s="16" t="str"/>
      <x:c r="T430" s="18" t="str"/>
      <x:c r="U430" s="16" t="str"/>
      <x:c r="V430" s="16" t="n">
        <x:v>0</x:v>
      </x:c>
    </x:row>
    <x:row r="431">
      <x:c r="A431" s="16" t="str">
        <x:v>FWPRO-STANDARDS-008</x:v>
      </x:c>
      <x:c r="B431" s="16" t="str">
        <x:v>STANDARDS</x:v>
      </x:c>
      <x:c r="C431" s="16" t="str">
        <x:v>Standards mapping and conformity governance</x:v>
      </x:c>
      <x:c r="D431" s="16" t="str">
        <x:v>Require written justification and approval before a control can be marked not applicable.</x:v>
      </x:c>
      <x:c r="E431" s="16" t="str">
        <x:v>Run only with the documented prerequisites, approved scope and suitable specialist method; record method, version, limitations and reviewer disposition. Control objective: Require written justification and approval before a control can be marked not applicable.</x:v>
      </x:c>
      <x:c r="F431" s="16" t="str">
        <x:v>Reviewer steps, expected/observed result, sanitized evidence, impact, reviewer and approval/ticket.</x:v>
      </x:c>
      <x:c r="G431" s="16" t="str">
        <x:v>manual_or_evidence</x:v>
      </x:c>
      <x:c r="H431" s="16" t="str">
        <x:v>P1</x:v>
      </x:c>
      <x:c r="I431" s="16" t="str">
        <x:v>core</x:v>
      </x:c>
      <x:c r="J431" s="16" t="str">
        <x:v>direct; supporting | direct; supporting</x:v>
      </x:c>
      <x:c r="K431" s="16" t="str">
        <x:v>OWASP_ASVS; OWASP_WSTG; OWASP_TOP10; OWASP_API; NIST_CSF; ISO27001; ISO27002; ISO31000</x:v>
      </x:c>
      <x:c r="L431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31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31" s="16" t="str">
        <x:v>not_assessed</x:v>
      </x:c>
      <x:c r="O431" s="16" t="str"/>
      <x:c r="P431" s="18" t="str"/>
      <x:c r="Q431" s="16" t="str"/>
      <x:c r="R431" s="16" t="str"/>
      <x:c r="S431" s="16" t="str"/>
      <x:c r="T431" s="18" t="str"/>
      <x:c r="U431" s="16" t="str"/>
      <x:c r="V431" s="16" t="n">
        <x:v>0</x:v>
      </x:c>
    </x:row>
    <x:row r="432">
      <x:c r="A432" s="16" t="str">
        <x:v>FWPRO-STANDARDS-009</x:v>
      </x:c>
      <x:c r="B432" s="16" t="str">
        <x:v>STANDARDS</x:v>
      </x:c>
      <x:c r="C432" s="16" t="str">
        <x:v>Standards mapping and conformity governance</x:v>
      </x:c>
      <x:c r="D432" s="16" t="str">
        <x:v>Reassess versioned standards when an official edition changes or is superseded.</x:v>
      </x:c>
      <x:c r="E432" s="16" t="str">
        <x:v>Run only with the documented prerequisites, approved scope and suitable specialist method; record method, version, limitations and reviewer disposition. Control objective: Reassess versioned standards when an official edition changes or is superseded.</x:v>
      </x:c>
      <x:c r="F432" s="16" t="str">
        <x:v>Reviewer steps, expected/observed result, sanitized evidence, impact, reviewer and approval/ticket.</x:v>
      </x:c>
      <x:c r="G432" s="16" t="str">
        <x:v>manual_or_evidence</x:v>
      </x:c>
      <x:c r="H432" s="16" t="str">
        <x:v>P1</x:v>
      </x:c>
      <x:c r="I432" s="16" t="str">
        <x:v>core</x:v>
      </x:c>
      <x:c r="J432" s="16" t="str">
        <x:v>direct; supporting | direct; supporting</x:v>
      </x:c>
      <x:c r="K432" s="16" t="str">
        <x:v>OWASP_ASVS; OWASP_WSTG; OWASP_TOP10; OWASP_API; NIST_CSF; ISO27001; ISO27002; ISO31000</x:v>
      </x:c>
      <x:c r="L432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32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32" s="16" t="str">
        <x:v>not_assessed</x:v>
      </x:c>
      <x:c r="O432" s="16" t="str"/>
      <x:c r="P432" s="18" t="str"/>
      <x:c r="Q432" s="16" t="str"/>
      <x:c r="R432" s="16" t="str"/>
      <x:c r="S432" s="16" t="str"/>
      <x:c r="T432" s="18" t="str"/>
      <x:c r="U432" s="16" t="str"/>
      <x:c r="V432" s="16" t="n">
        <x:v>0</x:v>
      </x:c>
    </x:row>
    <x:row r="433">
      <x:c r="A433" s="16" t="str">
        <x:v>FWPRO-STANDARDS-010</x:v>
      </x:c>
      <x:c r="B433" s="16" t="str">
        <x:v>STANDARDS</x:v>
      </x:c>
      <x:c r="C433" s="16" t="str">
        <x:v>Standards mapping and conformity governance</x:v>
      </x:c>
      <x:c r="D433" s="16" t="str">
        <x:v>Make clear that a curated crosswalk is not a complete clause-by-clause transcription or certification.</x:v>
      </x:c>
      <x:c r="E433" s="16" t="str">
        <x:v>Run only with the documented prerequisites, approved scope and suitable specialist method; record method, version, limitations and reviewer disposition. Control objective: Make clear that a curated crosswalk is not a complete clause-by-clause transcription or certification.</x:v>
      </x:c>
      <x:c r="F433" s="16" t="str">
        <x:v>Reviewer steps, expected/observed result, sanitized evidence, impact, reviewer and approval/ticket.</x:v>
      </x:c>
      <x:c r="G433" s="16" t="str">
        <x:v>manual_or_evidence</x:v>
      </x:c>
      <x:c r="H433" s="16" t="str">
        <x:v>P1</x:v>
      </x:c>
      <x:c r="I433" s="16" t="str">
        <x:v>core</x:v>
      </x:c>
      <x:c r="J433" s="16" t="str">
        <x:v>direct; supporting | direct; supporting</x:v>
      </x:c>
      <x:c r="K433" s="16" t="str">
        <x:v>OWASP_ASVS; OWASP_WSTG; OWASP_TOP10; OWASP_API; NIST_CSF; ISO27001; ISO27002; ISO31000</x:v>
      </x:c>
      <x:c r="L433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33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33" s="16" t="str">
        <x:v>not_assessed</x:v>
      </x:c>
      <x:c r="O433" s="16" t="str"/>
      <x:c r="P433" s="18" t="str"/>
      <x:c r="Q433" s="16" t="str"/>
      <x:c r="R433" s="16" t="str"/>
      <x:c r="S433" s="16" t="str"/>
      <x:c r="T433" s="18" t="str"/>
      <x:c r="U433" s="16" t="str"/>
      <x:c r="V433" s="16" t="n">
        <x:v>0</x:v>
      </x:c>
    </x:row>
    <x:row r="434">
      <x:c r="A434" s="16" t="str">
        <x:v>FWPRO-STANDARDS-011</x:v>
      </x:c>
      <x:c r="B434" s="16" t="str">
        <x:v>STANDARDS</x:v>
      </x:c>
      <x:c r="C434" s="16" t="str">
        <x:v>Standards mapping and conformity governance</x:v>
      </x:c>
      <x:c r="D434" s="16" t="str">
        <x:v>Track standard-to-control mapping gaps and distinguish unmapped controls from controls not tested.</x:v>
      </x:c>
      <x:c r="E434" s="16" t="str">
        <x:v>Run only with the documented prerequisites, approved scope and suitable specialist method; record method, version, limitations and reviewer disposition. Control objective: Track standard-to-control mapping gaps and distinguish unmapped controls from controls not tested.</x:v>
      </x:c>
      <x:c r="F434" s="16" t="str">
        <x:v>Reviewer steps, expected/observed result, sanitized evidence, impact, reviewer and approval/ticket.</x:v>
      </x:c>
      <x:c r="G434" s="16" t="str">
        <x:v>manual_or_evidence</x:v>
      </x:c>
      <x:c r="H434" s="16" t="str">
        <x:v>P1</x:v>
      </x:c>
      <x:c r="I434" s="16" t="str">
        <x:v>core</x:v>
      </x:c>
      <x:c r="J434" s="16" t="str">
        <x:v>direct; supporting | direct; supporting</x:v>
      </x:c>
      <x:c r="K434" s="16" t="str">
        <x:v>OWASP_ASVS; OWASP_WSTG; OWASP_TOP10; OWASP_API; NIST_CSF; ISO27001; ISO27002; ISO31000</x:v>
      </x:c>
      <x:c r="L434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34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34" s="16" t="str">
        <x:v>not_assessed</x:v>
      </x:c>
      <x:c r="O434" s="16" t="str"/>
      <x:c r="P434" s="18" t="str"/>
      <x:c r="Q434" s="16" t="str"/>
      <x:c r="R434" s="16" t="str"/>
      <x:c r="S434" s="16" t="str"/>
      <x:c r="T434" s="18" t="str"/>
      <x:c r="U434" s="16" t="str"/>
      <x:c r="V434" s="16" t="n">
        <x:v>0</x:v>
      </x:c>
    </x:row>
    <x:row r="435">
      <x:c r="A435" s="16" t="str">
        <x:v>FWPRO-STANDARDS-012</x:v>
      </x:c>
      <x:c r="B435" s="16" t="str">
        <x:v>STANDARDS</x:v>
      </x:c>
      <x:c r="C435" s="16" t="str">
        <x:v>Standards mapping and conformity governance</x:v>
      </x:c>
      <x:c r="D435" s="16" t="str">
        <x:v>Export a dated checklist with filters, owner, status, evidence and change history for audit review.</x:v>
      </x:c>
      <x:c r="E435" s="16" t="str">
        <x:v>Run only with the documented prerequisites, approved scope and suitable specialist method; record method, version, limitations and reviewer disposition. Control objective: Export a dated checklist with filters, owner, status, evidence and change history for audit review.</x:v>
      </x:c>
      <x:c r="F435" s="16" t="str">
        <x:v>Reviewer steps, expected/observed result, sanitized evidence, impact, reviewer and approval/ticket.</x:v>
      </x:c>
      <x:c r="G435" s="16" t="str">
        <x:v>manual_or_evidence</x:v>
      </x:c>
      <x:c r="H435" s="16" t="str">
        <x:v>P1</x:v>
      </x:c>
      <x:c r="I435" s="16" t="str">
        <x:v>core</x:v>
      </x:c>
      <x:c r="J435" s="16" t="str">
        <x:v>direct; supporting | direct; supporting</x:v>
      </x:c>
      <x:c r="K435" s="16" t="str">
        <x:v>OWASP_ASVS; OWASP_WSTG; OWASP_TOP10; OWASP_API; NIST_CSF; ISO27001; ISO27002; ISO31000</x:v>
      </x:c>
      <x:c r="L435" s="16" t="str">
        <x:v>OWASP Application Security Verification Standard (5.0.0 (stable)); OWASP Web Security Testing Guide (v4.2 (current stable)); OWASP Top 10 (2025 (released)); OWASP API Security Top 10 (2023); NIST Cybersecurity Framework (2.0); ISO/IEC 27001 (2022); ISO/IEC 27002 (2022); ISO 31000 Risk Management (2018; reviewed/confirmed current in 2023)</x:v>
      </x:c>
      <x:c r="M435" s="16" t="str">
        <x:v>https://owasp.org/www-project-application-security-verification-standard/; https://owasp.org/www-project-web-security-testing-guide/v42/; https://owasp.org/projects/top-ten; https://owasp.org/www-project-api-security/; https://www.nist.gov/cyberframework; https://www.iso.org/standard/27001; https://www.iso.org/standard/75652.html; https://www.iso.org/standard/65694.html</x:v>
      </x:c>
      <x:c r="N435" s="16" t="str">
        <x:v>not_assessed</x:v>
      </x:c>
      <x:c r="O435" s="16" t="str"/>
      <x:c r="P435" s="18" t="str"/>
      <x:c r="Q435" s="16" t="str"/>
      <x:c r="R435" s="16" t="str"/>
      <x:c r="S435" s="16" t="str"/>
      <x:c r="T435" s="18" t="str"/>
      <x:c r="U435" s="16" t="str"/>
      <x:c r="V435" s="16" t="n">
        <x:v>0</x:v>
      </x:c>
    </x:row>
    <x:row r="436">
      <x:c r="A436" s="16" t="str">
        <x:v>FWPRO-RELEASE-001</x:v>
      </x:c>
      <x:c r="B436" s="16" t="str">
        <x:v>RELEASE</x:v>
      </x:c>
      <x:c r="C436" s="16" t="str">
        <x:v>Release, operations, backup and product governance</x:v>
      </x:c>
      <x:c r="D436" s="16" t="str">
        <x:v>Run all required unit, contract, integration and local E2E tests before a release is tagged.</x:v>
      </x:c>
      <x:c r="E436" s="16" t="str">
        <x:v>An accountable owner/reviewer confirms the control using current artifacts or reproducible test steps; exceptions have rationale, approver, compensating control and expiry. Control objective: Run all required unit, contract, integration and local E2E tests before a release is tagged.</x:v>
      </x:c>
      <x:c r="F436" s="16" t="str">
        <x:v>Approved policy/process, responsible owner, sample records, review cadence and exceptions log.</x:v>
      </x:c>
      <x:c r="G436" s="16" t="str">
        <x:v>interview_or_evidence</x:v>
      </x:c>
      <x:c r="H436" s="16" t="str">
        <x:v>P1</x:v>
      </x:c>
      <x:c r="I436" s="16" t="str">
        <x:v>core</x:v>
      </x:c>
      <x:c r="J436" s="16" t="str">
        <x:v>supporting | supporting</x:v>
      </x:c>
      <x:c r="K436" s="16" t="str">
        <x:v>NIST_SSDF; NIST_CSF; NIST_800_53; ISO27001; ISO27035; CIS_CONTROLS; SLSA; OPENSSF_SCORECARD; CISA_SECURE_BY_DESIGN; SLSA_PROVENANCE</x:v>
      </x:c>
      <x:c r="L436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36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36" s="16" t="str">
        <x:v>not_assessed</x:v>
      </x:c>
      <x:c r="O436" s="16" t="str"/>
      <x:c r="P436" s="18" t="str"/>
      <x:c r="Q436" s="16" t="str"/>
      <x:c r="R436" s="16" t="str"/>
      <x:c r="S436" s="16" t="str"/>
      <x:c r="T436" s="18" t="str"/>
      <x:c r="U436" s="16" t="str"/>
      <x:c r="V436" s="16" t="n">
        <x:v>0</x:v>
      </x:c>
    </x:row>
    <x:row r="437">
      <x:c r="A437" s="16" t="str">
        <x:v>FWPRO-RELEASE-002</x:v>
      </x:c>
      <x:c r="B437" s="16" t="str">
        <x:v>RELEASE</x:v>
      </x:c>
      <x:c r="C437" s="16" t="str">
        <x:v>Release, operations, backup and product governance</x:v>
      </x:c>
      <x:c r="D437" s="16" t="str">
        <x:v>Apply a reproducible test inventory, coverage threshold and release decision record.</x:v>
      </x:c>
      <x:c r="E437" s="16" t="str">
        <x:v>An accountable owner/reviewer confirms the control using current artifacts or reproducible test steps; exceptions have rationale, approver, compensating control and expiry. Control objective: Apply a reproducible test inventory, coverage threshold and release decision record.</x:v>
      </x:c>
      <x:c r="F437" s="16" t="str">
        <x:v>Approved policy/process, responsible owner, sample records, review cadence and exceptions log.</x:v>
      </x:c>
      <x:c r="G437" s="16" t="str">
        <x:v>interview_or_evidence</x:v>
      </x:c>
      <x:c r="H437" s="16" t="str">
        <x:v>P1</x:v>
      </x:c>
      <x:c r="I437" s="16" t="str">
        <x:v>core</x:v>
      </x:c>
      <x:c r="J437" s="16" t="str">
        <x:v>supporting | supporting</x:v>
      </x:c>
      <x:c r="K437" s="16" t="str">
        <x:v>NIST_SSDF; NIST_CSF; NIST_800_53; ISO27001; ISO27035; CIS_CONTROLS; SLSA; OPENSSF_SCORECARD; CISA_SECURE_BY_DESIGN; SLSA_PROVENANCE</x:v>
      </x:c>
      <x:c r="L437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37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37" s="16" t="str">
        <x:v>not_assessed</x:v>
      </x:c>
      <x:c r="O437" s="16" t="str"/>
      <x:c r="P437" s="18" t="str"/>
      <x:c r="Q437" s="16" t="str"/>
      <x:c r="R437" s="16" t="str"/>
      <x:c r="S437" s="16" t="str"/>
      <x:c r="T437" s="18" t="str"/>
      <x:c r="U437" s="16" t="str"/>
      <x:c r="V437" s="16" t="n">
        <x:v>0</x:v>
      </x:c>
    </x:row>
    <x:row r="438">
      <x:c r="A438" s="16" t="str">
        <x:v>FWPRO-RELEASE-003</x:v>
      </x:c>
      <x:c r="B438" s="16" t="str">
        <x:v>RELEASE</x:v>
      </x:c>
      <x:c r="C438" s="16" t="str">
        <x:v>Release, operations, backup and product governance</x:v>
      </x:c>
      <x:c r="D438" s="16" t="str">
        <x:v>Test database migration/upgrade behavior and document rollback procedures.</x:v>
      </x:c>
      <x:c r="E438" s="16" t="str">
        <x:v>An accountable owner/reviewer confirms the control using current artifacts or reproducible test steps; exceptions have rationale, approver, compensating control and expiry. Control objective: Test database migration/upgrade behavior and document rollback procedures.</x:v>
      </x:c>
      <x:c r="F438" s="16" t="str">
        <x:v>Approved policy/process, responsible owner, sample records, review cadence and exceptions log.</x:v>
      </x:c>
      <x:c r="G438" s="16" t="str">
        <x:v>interview_or_evidence</x:v>
      </x:c>
      <x:c r="H438" s="16" t="str">
        <x:v>P1</x:v>
      </x:c>
      <x:c r="I438" s="16" t="str">
        <x:v>core</x:v>
      </x:c>
      <x:c r="J438" s="16" t="str">
        <x:v>supporting | supporting</x:v>
      </x:c>
      <x:c r="K438" s="16" t="str">
        <x:v>NIST_SSDF; NIST_CSF; NIST_800_53; ISO27001; ISO27035; CIS_CONTROLS; SLSA; OPENSSF_SCORECARD; CISA_SECURE_BY_DESIGN; SLSA_PROVENANCE</x:v>
      </x:c>
      <x:c r="L438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38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38" s="16" t="str">
        <x:v>not_assessed</x:v>
      </x:c>
      <x:c r="O438" s="16" t="str"/>
      <x:c r="P438" s="18" t="str"/>
      <x:c r="Q438" s="16" t="str"/>
      <x:c r="R438" s="16" t="str"/>
      <x:c r="S438" s="16" t="str"/>
      <x:c r="T438" s="18" t="str"/>
      <x:c r="U438" s="16" t="str"/>
      <x:c r="V438" s="16" t="n">
        <x:v>0</x:v>
      </x:c>
    </x:row>
    <x:row r="439">
      <x:c r="A439" s="16" t="str">
        <x:v>FWPRO-RELEASE-004</x:v>
      </x:c>
      <x:c r="B439" s="16" t="str">
        <x:v>RELEASE</x:v>
      </x:c>
      <x:c r="C439" s="16" t="str">
        <x:v>Release, operations, backup and product governance</x:v>
      </x:c>
      <x:c r="D439" s="16" t="str">
        <x:v>Verify Docker image build, runtime non-root posture, health checks and minimal published ports.</x:v>
      </x:c>
      <x:c r="E439" s="16" t="str">
        <x:v>An accountable owner/reviewer confirms the control using current artifacts or reproducible test steps; exceptions have rationale, approver, compensating control and expiry. Control objective: Verify Docker image build, runtime non-root posture, health checks and minimal published ports.</x:v>
      </x:c>
      <x:c r="F439" s="16" t="str">
        <x:v>Approved policy/process, responsible owner, sample records, review cadence and exceptions log.</x:v>
      </x:c>
      <x:c r="G439" s="16" t="str">
        <x:v>interview_or_evidence</x:v>
      </x:c>
      <x:c r="H439" s="16" t="str">
        <x:v>P1</x:v>
      </x:c>
      <x:c r="I439" s="16" t="str">
        <x:v>core</x:v>
      </x:c>
      <x:c r="J439" s="16" t="str">
        <x:v>supporting | supporting</x:v>
      </x:c>
      <x:c r="K439" s="16" t="str">
        <x:v>NIST_SSDF; NIST_CSF; NIST_800_53; ISO27001; ISO27035; CIS_CONTROLS; SLSA; OPENSSF_SCORECARD; CISA_SECURE_BY_DESIGN; SLSA_PROVENANCE</x:v>
      </x:c>
      <x:c r="L439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39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39" s="16" t="str">
        <x:v>not_assessed</x:v>
      </x:c>
      <x:c r="O439" s="16" t="str"/>
      <x:c r="P439" s="18" t="str"/>
      <x:c r="Q439" s="16" t="str"/>
      <x:c r="R439" s="16" t="str"/>
      <x:c r="S439" s="16" t="str"/>
      <x:c r="T439" s="18" t="str"/>
      <x:c r="U439" s="16" t="str"/>
      <x:c r="V439" s="16" t="n">
        <x:v>0</x:v>
      </x:c>
    </x:row>
    <x:row r="440">
      <x:c r="A440" s="16" t="str">
        <x:v>FWPRO-RELEASE-005</x:v>
      </x:c>
      <x:c r="B440" s="16" t="str">
        <x:v>RELEASE</x:v>
      </x:c>
      <x:c r="C440" s="16" t="str">
        <x:v>Release, operations, backup and product governance</x:v>
      </x:c>
      <x:c r="D440" s="16" t="str">
        <x:v>Generate resolved SBOM and image scan results for distributable release artifacts.</x:v>
      </x:c>
      <x:c r="E440" s="16" t="str">
        <x:v>An accountable owner/reviewer confirms the control using current artifacts or reproducible test steps; exceptions have rationale, approver, compensating control and expiry. Control objective: Generate resolved SBOM and image scan results for distributable release artifacts.</x:v>
      </x:c>
      <x:c r="F440" s="16" t="str">
        <x:v>Approved policy/process, responsible owner, sample records, review cadence and exceptions log.</x:v>
      </x:c>
      <x:c r="G440" s="16" t="str">
        <x:v>interview_or_evidence</x:v>
      </x:c>
      <x:c r="H440" s="16" t="str">
        <x:v>P1</x:v>
      </x:c>
      <x:c r="I440" s="16" t="str">
        <x:v>core</x:v>
      </x:c>
      <x:c r="J440" s="16" t="str">
        <x:v>supporting | supporting</x:v>
      </x:c>
      <x:c r="K440" s="16" t="str">
        <x:v>NIST_SSDF; NIST_CSF; NIST_800_53; ISO27001; ISO27035; CIS_CONTROLS; SLSA; OPENSSF_SCORECARD; CISA_SECURE_BY_DESIGN; SLSA_PROVENANCE</x:v>
      </x:c>
      <x:c r="L440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0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0" s="16" t="str">
        <x:v>not_assessed</x:v>
      </x:c>
      <x:c r="O440" s="16" t="str"/>
      <x:c r="P440" s="18" t="str"/>
      <x:c r="Q440" s="16" t="str"/>
      <x:c r="R440" s="16" t="str"/>
      <x:c r="S440" s="16" t="str"/>
      <x:c r="T440" s="18" t="str"/>
      <x:c r="U440" s="16" t="str"/>
      <x:c r="V440" s="16" t="n">
        <x:v>0</x:v>
      </x:c>
    </x:row>
    <x:row r="441">
      <x:c r="A441" s="16" t="str">
        <x:v>FWPRO-RELEASE-006</x:v>
      </x:c>
      <x:c r="B441" s="16" t="str">
        <x:v>RELEASE</x:v>
      </x:c>
      <x:c r="C441" s="16" t="str">
        <x:v>Release, operations, backup and product governance</x:v>
      </x:c>
      <x:c r="D441" s="16" t="str">
        <x:v>Sign release artifacts or publish verifiable provenance where infrastructure supports it.</x:v>
      </x:c>
      <x:c r="E441" s="16" t="str">
        <x:v>An accountable owner/reviewer confirms the control using current artifacts or reproducible test steps; exceptions have rationale, approver, compensating control and expiry. Control objective: Sign release artifacts or publish verifiable provenance where infrastructure supports it.</x:v>
      </x:c>
      <x:c r="F441" s="16" t="str">
        <x:v>Approved policy/process, responsible owner, sample records, review cadence and exceptions log.</x:v>
      </x:c>
      <x:c r="G441" s="16" t="str">
        <x:v>interview_or_evidence</x:v>
      </x:c>
      <x:c r="H441" s="16" t="str">
        <x:v>P1</x:v>
      </x:c>
      <x:c r="I441" s="16" t="str">
        <x:v>core</x:v>
      </x:c>
      <x:c r="J441" s="16" t="str">
        <x:v>supporting | supporting</x:v>
      </x:c>
      <x:c r="K441" s="16" t="str">
        <x:v>NIST_SSDF; NIST_CSF; NIST_800_53; ISO27001; ISO27035; CIS_CONTROLS; SLSA; OPENSSF_SCORECARD; CISA_SECURE_BY_DESIGN; SLSA_PROVENANCE</x:v>
      </x:c>
      <x:c r="L441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1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1" s="16" t="str">
        <x:v>not_assessed</x:v>
      </x:c>
      <x:c r="O441" s="16" t="str"/>
      <x:c r="P441" s="18" t="str"/>
      <x:c r="Q441" s="16" t="str"/>
      <x:c r="R441" s="16" t="str"/>
      <x:c r="S441" s="16" t="str"/>
      <x:c r="T441" s="18" t="str"/>
      <x:c r="U441" s="16" t="str"/>
      <x:c r="V441" s="16" t="n">
        <x:v>0</x:v>
      </x:c>
    </x:row>
    <x:row r="442">
      <x:c r="A442" s="16" t="str">
        <x:v>FWPRO-RELEASE-007</x:v>
      </x:c>
      <x:c r="B442" s="16" t="str">
        <x:v>RELEASE</x:v>
      </x:c>
      <x:c r="C442" s="16" t="str">
        <x:v>Release, operations, backup and product governance</x:v>
      </x:c>
      <x:c r="D442" s="16" t="str">
        <x:v>Publish release notes, known limitations, support policy and security reporting contact.</x:v>
      </x:c>
      <x:c r="E442" s="16" t="str">
        <x:v>An accountable owner/reviewer confirms the control using current artifacts or reproducible test steps; exceptions have rationale, approver, compensating control and expiry. Control objective: Publish release notes, known limitations, support policy and security reporting contact.</x:v>
      </x:c>
      <x:c r="F442" s="16" t="str">
        <x:v>Approved policy/process, responsible owner, sample records, review cadence and exceptions log.</x:v>
      </x:c>
      <x:c r="G442" s="16" t="str">
        <x:v>interview_or_evidence</x:v>
      </x:c>
      <x:c r="H442" s="16" t="str">
        <x:v>P1</x:v>
      </x:c>
      <x:c r="I442" s="16" t="str">
        <x:v>core</x:v>
      </x:c>
      <x:c r="J442" s="16" t="str">
        <x:v>supporting | supporting</x:v>
      </x:c>
      <x:c r="K442" s="16" t="str">
        <x:v>NIST_SSDF; NIST_CSF; NIST_800_53; ISO27001; ISO27035; CIS_CONTROLS; SLSA; OPENSSF_SCORECARD; CISA_SECURE_BY_DESIGN; SLSA_PROVENANCE</x:v>
      </x:c>
      <x:c r="L442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2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2" s="16" t="str">
        <x:v>not_assessed</x:v>
      </x:c>
      <x:c r="O442" s="16" t="str"/>
      <x:c r="P442" s="18" t="str"/>
      <x:c r="Q442" s="16" t="str"/>
      <x:c r="R442" s="16" t="str"/>
      <x:c r="S442" s="16" t="str"/>
      <x:c r="T442" s="18" t="str"/>
      <x:c r="U442" s="16" t="str"/>
      <x:c r="V442" s="16" t="n">
        <x:v>0</x:v>
      </x:c>
    </x:row>
    <x:row r="443">
      <x:c r="A443" s="16" t="str">
        <x:v>FWPRO-RELEASE-008</x:v>
      </x:c>
      <x:c r="B443" s="16" t="str">
        <x:v>RELEASE</x:v>
      </x:c>
      <x:c r="C443" s="16" t="str">
        <x:v>Release, operations, backup and product governance</x:v>
      </x:c>
      <x:c r="D443" s="16" t="str">
        <x:v>Protect default branch with reviews and required CI for production repositories.</x:v>
      </x:c>
      <x:c r="E443" s="16" t="str">
        <x:v>An accountable owner/reviewer confirms the control using current artifacts or reproducible test steps; exceptions have rationale, approver, compensating control and expiry. Control objective: Protect default branch with reviews and required CI for production repositories.</x:v>
      </x:c>
      <x:c r="F443" s="16" t="str">
        <x:v>Approved policy/process, responsible owner, sample records, review cadence and exceptions log.</x:v>
      </x:c>
      <x:c r="G443" s="16" t="str">
        <x:v>interview_or_evidence</x:v>
      </x:c>
      <x:c r="H443" s="16" t="str">
        <x:v>P1</x:v>
      </x:c>
      <x:c r="I443" s="16" t="str">
        <x:v>core</x:v>
      </x:c>
      <x:c r="J443" s="16" t="str">
        <x:v>supporting | supporting</x:v>
      </x:c>
      <x:c r="K443" s="16" t="str">
        <x:v>NIST_SSDF; NIST_CSF; NIST_800_53; ISO27001; ISO27035; CIS_CONTROLS; SLSA; OPENSSF_SCORECARD; CISA_SECURE_BY_DESIGN; SLSA_PROVENANCE</x:v>
      </x:c>
      <x:c r="L443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3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3" s="16" t="str">
        <x:v>not_assessed</x:v>
      </x:c>
      <x:c r="O443" s="16" t="str"/>
      <x:c r="P443" s="18" t="str"/>
      <x:c r="Q443" s="16" t="str"/>
      <x:c r="R443" s="16" t="str"/>
      <x:c r="S443" s="16" t="str"/>
      <x:c r="T443" s="18" t="str"/>
      <x:c r="U443" s="16" t="str"/>
      <x:c r="V443" s="16" t="n">
        <x:v>0</x:v>
      </x:c>
    </x:row>
    <x:row r="444">
      <x:c r="A444" s="16" t="str">
        <x:v>FWPRO-RELEASE-009</x:v>
      </x:c>
      <x:c r="B444" s="16" t="str">
        <x:v>RELEASE</x:v>
      </x:c>
      <x:c r="C444" s="16" t="str">
        <x:v>Release, operations, backup and product governance</x:v>
      </x:c>
      <x:c r="D444" s="16" t="str">
        <x:v>Use minimum permissions and pinned third-party actions in CI/CD workflows.</x:v>
      </x:c>
      <x:c r="E444" s="16" t="str">
        <x:v>An accountable owner/reviewer confirms the control using current artifacts or reproducible test steps; exceptions have rationale, approver, compensating control and expiry. Control objective: Use minimum permissions and pinned third-party actions in CI/CD workflows.</x:v>
      </x:c>
      <x:c r="F444" s="16" t="str">
        <x:v>Approved policy/process, responsible owner, sample records, review cadence and exceptions log.</x:v>
      </x:c>
      <x:c r="G444" s="16" t="str">
        <x:v>interview_or_evidence</x:v>
      </x:c>
      <x:c r="H444" s="16" t="str">
        <x:v>P1</x:v>
      </x:c>
      <x:c r="I444" s="16" t="str">
        <x:v>core</x:v>
      </x:c>
      <x:c r="J444" s="16" t="str">
        <x:v>supporting | supporting</x:v>
      </x:c>
      <x:c r="K444" s="16" t="str">
        <x:v>NIST_SSDF; NIST_CSF; NIST_800_53; ISO27001; ISO27035; CIS_CONTROLS; SLSA; OPENSSF_SCORECARD; CISA_SECURE_BY_DESIGN; SLSA_PROVENANCE</x:v>
      </x:c>
      <x:c r="L444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4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4" s="16" t="str">
        <x:v>not_assessed</x:v>
      </x:c>
      <x:c r="O444" s="16" t="str"/>
      <x:c r="P444" s="18" t="str"/>
      <x:c r="Q444" s="16" t="str"/>
      <x:c r="R444" s="16" t="str"/>
      <x:c r="S444" s="16" t="str"/>
      <x:c r="T444" s="18" t="str"/>
      <x:c r="U444" s="16" t="str"/>
      <x:c r="V444" s="16" t="n">
        <x:v>0</x:v>
      </x:c>
    </x:row>
    <x:row r="445">
      <x:c r="A445" s="16" t="str">
        <x:v>FWPRO-RELEASE-010</x:v>
      </x:c>
      <x:c r="B445" s="16" t="str">
        <x:v>RELEASE</x:v>
      </x:c>
      <x:c r="C445" s="16" t="str">
        <x:v>Release, operations, backup and product governance</x:v>
      </x:c>
      <x:c r="D445" s="16" t="str">
        <x:v>Monitor dependency and base-image vulnerabilities and define update SLAs.</x:v>
      </x:c>
      <x:c r="E445" s="16" t="str">
        <x:v>An accountable owner/reviewer confirms the control using current artifacts or reproducible test steps; exceptions have rationale, approver, compensating control and expiry. Control objective: Monitor dependency and base-image vulnerabilities and define update SLAs.</x:v>
      </x:c>
      <x:c r="F445" s="16" t="str">
        <x:v>Approved policy/process, responsible owner, sample records, review cadence and exceptions log.</x:v>
      </x:c>
      <x:c r="G445" s="16" t="str">
        <x:v>interview_or_evidence</x:v>
      </x:c>
      <x:c r="H445" s="16" t="str">
        <x:v>P1</x:v>
      </x:c>
      <x:c r="I445" s="16" t="str">
        <x:v>core</x:v>
      </x:c>
      <x:c r="J445" s="16" t="str">
        <x:v>supporting | supporting</x:v>
      </x:c>
      <x:c r="K445" s="16" t="str">
        <x:v>NIST_SSDF; NIST_CSF; NIST_800_53; ISO27001; ISO27035; CIS_CONTROLS; SLSA; OPENSSF_SCORECARD; CISA_SECURE_BY_DESIGN; SLSA_PROVENANCE</x:v>
      </x:c>
      <x:c r="L445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5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5" s="16" t="str">
        <x:v>not_assessed</x:v>
      </x:c>
      <x:c r="O445" s="16" t="str"/>
      <x:c r="P445" s="18" t="str"/>
      <x:c r="Q445" s="16" t="str"/>
      <x:c r="R445" s="16" t="str"/>
      <x:c r="S445" s="16" t="str"/>
      <x:c r="T445" s="18" t="str"/>
      <x:c r="U445" s="16" t="str"/>
      <x:c r="V445" s="16" t="n">
        <x:v>0</x:v>
      </x:c>
    </x:row>
    <x:row r="446">
      <x:c r="A446" s="16" t="str">
        <x:v>FWPRO-RELEASE-011</x:v>
      </x:c>
      <x:c r="B446" s="16" t="str">
        <x:v>RELEASE</x:v>
      </x:c>
      <x:c r="C446" s="16" t="str">
        <x:v>Release, operations, backup and product governance</x:v>
      </x:c>
      <x:c r="D446" s="16" t="str">
        <x:v>Test recovery of application database, checklist state and report evidence backups.</x:v>
      </x:c>
      <x:c r="E446" s="16" t="str">
        <x:v>An accountable owner/reviewer confirms the control using current artifacts or reproducible test steps; exceptions have rationale, approver, compensating control and expiry. Control objective: Test recovery of application database, checklist state and report evidence backups.</x:v>
      </x:c>
      <x:c r="F446" s="16" t="str">
        <x:v>Approved policy/process, responsible owner, sample records, review cadence and exceptions log.</x:v>
      </x:c>
      <x:c r="G446" s="16" t="str">
        <x:v>interview_or_evidence</x:v>
      </x:c>
      <x:c r="H446" s="16" t="str">
        <x:v>P1</x:v>
      </x:c>
      <x:c r="I446" s="16" t="str">
        <x:v>core</x:v>
      </x:c>
      <x:c r="J446" s="16" t="str">
        <x:v>supporting | supporting</x:v>
      </x:c>
      <x:c r="K446" s="16" t="str">
        <x:v>NIST_SSDF; NIST_CSF; NIST_800_53; ISO27001; ISO27035; CIS_CONTROLS; SLSA; OPENSSF_SCORECARD; CISA_SECURE_BY_DESIGN; SLSA_PROVENANCE</x:v>
      </x:c>
      <x:c r="L446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6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6" s="16" t="str">
        <x:v>not_assessed</x:v>
      </x:c>
      <x:c r="O446" s="16" t="str"/>
      <x:c r="P446" s="18" t="str"/>
      <x:c r="Q446" s="16" t="str"/>
      <x:c r="R446" s="16" t="str"/>
      <x:c r="S446" s="16" t="str"/>
      <x:c r="T446" s="18" t="str"/>
      <x:c r="U446" s="16" t="str"/>
      <x:c r="V446" s="16" t="n">
        <x:v>0</x:v>
      </x:c>
    </x:row>
    <x:row r="447">
      <x:c r="A447" s="16" t="str">
        <x:v>FWPRO-RELEASE-012</x:v>
      </x:c>
      <x:c r="B447" s="16" t="str">
        <x:v>RELEASE</x:v>
      </x:c>
      <x:c r="C447" s="16" t="str">
        <x:v>Release, operations, backup and product governance</x:v>
      </x:c>
      <x:c r="D447" s="16" t="str">
        <x:v>Define product support/end-of-life policy and security update cadence.</x:v>
      </x:c>
      <x:c r="E447" s="16" t="str">
        <x:v>An accountable owner/reviewer confirms the control using current artifacts or reproducible test steps; exceptions have rationale, approver, compensating control and expiry. Control objective: Define product support/end-of-life policy and security update cadence.</x:v>
      </x:c>
      <x:c r="F447" s="16" t="str">
        <x:v>Approved policy/process, responsible owner, sample records, review cadence and exceptions log.</x:v>
      </x:c>
      <x:c r="G447" s="16" t="str">
        <x:v>interview_or_evidence</x:v>
      </x:c>
      <x:c r="H447" s="16" t="str">
        <x:v>P1</x:v>
      </x:c>
      <x:c r="I447" s="16" t="str">
        <x:v>core</x:v>
      </x:c>
      <x:c r="J447" s="16" t="str">
        <x:v>supporting | supporting</x:v>
      </x:c>
      <x:c r="K447" s="16" t="str">
        <x:v>NIST_SSDF; NIST_CSF; NIST_800_53; ISO27001; ISO27035; CIS_CONTROLS; SLSA; OPENSSF_SCORECARD; CISA_SECURE_BY_DESIGN; SLSA_PROVENANCE</x:v>
      </x:c>
      <x:c r="L447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7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7" s="16" t="str">
        <x:v>not_assessed</x:v>
      </x:c>
      <x:c r="O447" s="16" t="str"/>
      <x:c r="P447" s="18" t="str"/>
      <x:c r="Q447" s="16" t="str"/>
      <x:c r="R447" s="16" t="str"/>
      <x:c r="S447" s="16" t="str"/>
      <x:c r="T447" s="18" t="str"/>
      <x:c r="U447" s="16" t="str"/>
      <x:c r="V447" s="16" t="n">
        <x:v>0</x:v>
      </x:c>
    </x:row>
    <x:row r="448">
      <x:c r="A448" s="16" t="str">
        <x:v>FWPRO-RELEASE-013</x:v>
      </x:c>
      <x:c r="B448" s="16" t="str">
        <x:v>RELEASE</x:v>
      </x:c>
      <x:c r="C448" s="16" t="str">
        <x:v>Release, operations, backup and product governance</x:v>
      </x:c>
      <x:c r="D448" s="16" t="str">
        <x:v>Record release approver, source commit, build workflow, artifact hashes and deployment environment.</x:v>
      </x:c>
      <x:c r="E448" s="16" t="str">
        <x:v>An accountable owner/reviewer confirms the control using current artifacts or reproducible test steps; exceptions have rationale, approver, compensating control and expiry. Control objective: Record release approver, source commit, build workflow, artifact hashes and deployment environment.</x:v>
      </x:c>
      <x:c r="F448" s="16" t="str">
        <x:v>Approved policy/process, responsible owner, sample records, review cadence and exceptions log.</x:v>
      </x:c>
      <x:c r="G448" s="16" t="str">
        <x:v>interview_or_evidence</x:v>
      </x:c>
      <x:c r="H448" s="16" t="str">
        <x:v>P1</x:v>
      </x:c>
      <x:c r="I448" s="16" t="str">
        <x:v>core</x:v>
      </x:c>
      <x:c r="J448" s="16" t="str">
        <x:v>supporting | supporting</x:v>
      </x:c>
      <x:c r="K448" s="16" t="str">
        <x:v>NIST_SSDF; NIST_CSF; NIST_800_53; ISO27001; ISO27035; CIS_CONTROLS; SLSA; OPENSSF_SCORECARD; CISA_SECURE_BY_DESIGN; SLSA_PROVENANCE</x:v>
      </x:c>
      <x:c r="L448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8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8" s="16" t="str">
        <x:v>not_assessed</x:v>
      </x:c>
      <x:c r="O448" s="16" t="str"/>
      <x:c r="P448" s="18" t="str"/>
      <x:c r="Q448" s="16" t="str"/>
      <x:c r="R448" s="16" t="str"/>
      <x:c r="S448" s="16" t="str"/>
      <x:c r="T448" s="18" t="str"/>
      <x:c r="U448" s="16" t="str"/>
      <x:c r="V448" s="16" t="n">
        <x:v>0</x:v>
      </x:c>
    </x:row>
    <x:row r="449">
      <x:c r="A449" s="16" t="str">
        <x:v>FWPRO-RELEASE-014</x:v>
      </x:c>
      <x:c r="B449" s="16" t="str">
        <x:v>RELEASE</x:v>
      </x:c>
      <x:c r="C449" s="16" t="str">
        <x:v>Release, operations, backup and product governance</x:v>
      </x:c>
      <x:c r="D449" s="16" t="str">
        <x:v>Perform rollback or hotfix drills for critical security defects.</x:v>
      </x:c>
      <x:c r="E449" s="16" t="str">
        <x:v>An accountable owner/reviewer confirms the control using current artifacts or reproducible test steps; exceptions have rationale, approver, compensating control and expiry. Control objective: Perform rollback or hotfix drills for critical security defects.</x:v>
      </x:c>
      <x:c r="F449" s="16" t="str">
        <x:v>Approved policy/process, responsible owner, sample records, review cadence and exceptions log.</x:v>
      </x:c>
      <x:c r="G449" s="16" t="str">
        <x:v>interview_or_evidence</x:v>
      </x:c>
      <x:c r="H449" s="16" t="str">
        <x:v>P1</x:v>
      </x:c>
      <x:c r="I449" s="16" t="str">
        <x:v>core</x:v>
      </x:c>
      <x:c r="J449" s="16" t="str">
        <x:v>supporting | supporting</x:v>
      </x:c>
      <x:c r="K449" s="16" t="str">
        <x:v>NIST_SSDF; NIST_CSF; NIST_800_53; ISO27001; ISO27035; CIS_CONTROLS; SLSA; OPENSSF_SCORECARD; CISA_SECURE_BY_DESIGN; SLSA_PROVENANCE</x:v>
      </x:c>
      <x:c r="L449" s="16" t="str">
        <x:v>NIST SP 800-218 Secure Software Development Framework (1.1); NIST Cybersecurity Framework (2.0); NIST SP 800-53 Security and Privacy Controls (Rev. 5 + current errata); ISO/IEC 27001 (2022); ISO/IEC 27035-1 Incident Management (2023); CIS Critical Security Controls (v8.1); Supply-chain Levels for Software Artifacts (1.2 (approved)); OpenSSF Scorecard (Rolling checks); CISA Secure by Design Pledge (Voluntary pledge); in-toto / provenance attestations (Current specification ecosystem)</x:v>
      </x:c>
      <x:c r="M449" s="16" t="str">
        <x:v>https://csrc.nist.gov/pubs/sp/800/218/final; https://www.nist.gov/cyberframework; https://csrc.nist.gov/pubs/sp/800/53/r5/upd1/final; https://www.iso.org/standard/27001; https://www.iso.org/standard/78973.html; https://www.cisecurity.org/controls/v8-1; https://slsa.dev/spec/v1.2/; https://openssf.org/scorecard/; https://www.cisa.gov/securebydesign; https://in-toto.io/</x:v>
      </x:c>
      <x:c r="N449" s="16" t="str">
        <x:v>not_assessed</x:v>
      </x:c>
      <x:c r="O449" s="16" t="str"/>
      <x:c r="P449" s="18" t="str"/>
      <x:c r="Q449" s="16" t="str"/>
      <x:c r="R449" s="16" t="str"/>
      <x:c r="S449" s="16" t="str"/>
      <x:c r="T449" s="18" t="str"/>
      <x:c r="U449" s="16" t="str"/>
      <x:c r="V449" s="16" t="n">
        <x:v>0</x:v>
      </x:c>
    </x:row>
    <x:row r="450">
      <x:c r="A450" s="16" t="str">
        <x:v>FWPRO-ACCESSIBILITY_REG-001</x:v>
      </x:c>
      <x:c r="B450" s="16" t="str">
        <x:v>ACCESSIBILITY_REG</x:v>
      </x:c>
      <x:c r="C450" s="16" t="str">
        <x:v>Accessibility conformance governance</x:v>
      </x:c>
      <x:c r="D450" s="16" t="str">
        <x:v>Define required WCAG conformance level and applicable national/procurement accessibility obligations.</x:v>
      </x:c>
      <x:c r="E450" s="16" t="str">
        <x:v>An accountable owner/reviewer confirms the control using current artifacts or reproducible test steps; exceptions have rationale, approver, compensating control and expiry. Control objective: Define required WCAG conformance level and applicable national/procurement accessibility obligations.</x:v>
      </x:c>
      <x:c r="F450" s="16" t="str">
        <x:v>Reviewer steps, expected/observed result, sanitized evidence, impact, reviewer and approval/ticket.</x:v>
      </x:c>
      <x:c r="G450" s="16" t="str">
        <x:v>manual_review</x:v>
      </x:c>
      <x:c r="H450" s="16" t="str">
        <x:v>P2</x:v>
      </x:c>
      <x:c r="I450" s="16" t="str">
        <x:v>conditional</x:v>
      </x:c>
      <x:c r="J450" s="16" t="str">
        <x:v>adjacent; conditional; supporting | adjacent; conditional; supporting</x:v>
      </x:c>
      <x:c r="K450" s="16" t="str">
        <x:v>WCAG22; EN301549; ISO27001</x:v>
      </x:c>
      <x:c r="L450" s="16" t="str">
        <x:v>W3C Web Content Accessibility Guidelines (2.2 W3C Recommendation); ETSI EN 301 549 accessibility requirements for ICT (Use current applicable edition); ISO/IEC 27001 (2022)</x:v>
      </x:c>
      <x:c r="M450" s="16" t="str">
        <x:v>https://www.w3.org/TR/WCAG22/; https://www.etsi.org/standards; https://www.iso.org/standard/27001</x:v>
      </x:c>
      <x:c r="N450" s="16" t="str">
        <x:v>not_assessed</x:v>
      </x:c>
      <x:c r="O450" s="16" t="str"/>
      <x:c r="P450" s="18" t="str"/>
      <x:c r="Q450" s="16" t="str"/>
      <x:c r="R450" s="16" t="str"/>
      <x:c r="S450" s="16" t="str"/>
      <x:c r="T450" s="18" t="str"/>
      <x:c r="U450" s="16" t="str"/>
      <x:c r="V450" s="16" t="n">
        <x:v>0</x:v>
      </x:c>
    </x:row>
    <x:row r="451">
      <x:c r="A451" s="16" t="str">
        <x:v>FWPRO-ACCESSIBILITY_REG-002</x:v>
      </x:c>
      <x:c r="B451" s="16" t="str">
        <x:v>ACCESSIBILITY_REG</x:v>
      </x:c>
      <x:c r="C451" s="16" t="str">
        <x:v>Accessibility conformance governance</x:v>
      </x:c>
      <x:c r="D451" s="16" t="str">
        <x:v>Document automated accessibility tool scope and the criteria that require manual assessment.</x:v>
      </x:c>
      <x:c r="E451" s="16" t="str">
        <x:v>An accountable owner/reviewer confirms the control using current artifacts or reproducible test steps; exceptions have rationale, approver, compensating control and expiry. Control objective: Document automated accessibility tool scope and the criteria that require manual assessment.</x:v>
      </x:c>
      <x:c r="F451" s="16" t="str">
        <x:v>Reviewer steps, expected/observed result, sanitized evidence, impact, reviewer and approval/ticket.</x:v>
      </x:c>
      <x:c r="G451" s="16" t="str">
        <x:v>manual_review</x:v>
      </x:c>
      <x:c r="H451" s="16" t="str">
        <x:v>P2</x:v>
      </x:c>
      <x:c r="I451" s="16" t="str">
        <x:v>conditional</x:v>
      </x:c>
      <x:c r="J451" s="16" t="str">
        <x:v>adjacent; conditional; supporting | adjacent; conditional; supporting</x:v>
      </x:c>
      <x:c r="K451" s="16" t="str">
        <x:v>WCAG22; EN301549; ISO27001</x:v>
      </x:c>
      <x:c r="L451" s="16" t="str">
        <x:v>W3C Web Content Accessibility Guidelines (2.2 W3C Recommendation); ETSI EN 301 549 accessibility requirements for ICT (Use current applicable edition); ISO/IEC 27001 (2022)</x:v>
      </x:c>
      <x:c r="M451" s="16" t="str">
        <x:v>https://www.w3.org/TR/WCAG22/; https://www.etsi.org/standards; https://www.iso.org/standard/27001</x:v>
      </x:c>
      <x:c r="N451" s="16" t="str">
        <x:v>not_assessed</x:v>
      </x:c>
      <x:c r="O451" s="16" t="str"/>
      <x:c r="P451" s="18" t="str"/>
      <x:c r="Q451" s="16" t="str"/>
      <x:c r="R451" s="16" t="str"/>
      <x:c r="S451" s="16" t="str"/>
      <x:c r="T451" s="18" t="str"/>
      <x:c r="U451" s="16" t="str"/>
      <x:c r="V451" s="16" t="n">
        <x:v>0</x:v>
      </x:c>
    </x:row>
    <x:row r="452">
      <x:c r="A452" s="16" t="str">
        <x:v>FWPRO-ACCESSIBILITY_REG-003</x:v>
      </x:c>
      <x:c r="B452" s="16" t="str">
        <x:v>ACCESSIBILITY_REG</x:v>
      </x:c>
      <x:c r="C452" s="16" t="str">
        <x:v>Accessibility conformance governance</x:v>
      </x:c>
      <x:c r="D452" s="16" t="str">
        <x:v>Perform manual keyboard, focus, screen-reader and cognitive/interaction review for critical workflows.</x:v>
      </x:c>
      <x:c r="E452" s="16" t="str">
        <x:v>An accountable owner/reviewer confirms the control using current artifacts or reproducible test steps; exceptions have rationale, approver, compensating control and expiry. Control objective: Perform manual keyboard, focus, screen-reader and cognitive/interaction review for critical workflows.</x:v>
      </x:c>
      <x:c r="F452" s="16" t="str">
        <x:v>Reviewer steps, expected/observed result, sanitized evidence, impact, reviewer and approval/ticket.</x:v>
      </x:c>
      <x:c r="G452" s="16" t="str">
        <x:v>manual_review</x:v>
      </x:c>
      <x:c r="H452" s="16" t="str">
        <x:v>P2</x:v>
      </x:c>
      <x:c r="I452" s="16" t="str">
        <x:v>conditional</x:v>
      </x:c>
      <x:c r="J452" s="16" t="str">
        <x:v>adjacent; conditional; supporting | adjacent; conditional; supporting</x:v>
      </x:c>
      <x:c r="K452" s="16" t="str">
        <x:v>WCAG22; EN301549; ISO27001</x:v>
      </x:c>
      <x:c r="L452" s="16" t="str">
        <x:v>W3C Web Content Accessibility Guidelines (2.2 W3C Recommendation); ETSI EN 301 549 accessibility requirements for ICT (Use current applicable edition); ISO/IEC 27001 (2022)</x:v>
      </x:c>
      <x:c r="M452" s="16" t="str">
        <x:v>https://www.w3.org/TR/WCAG22/; https://www.etsi.org/standards; https://www.iso.org/standard/27001</x:v>
      </x:c>
      <x:c r="N452" s="16" t="str">
        <x:v>not_assessed</x:v>
      </x:c>
      <x:c r="O452" s="16" t="str"/>
      <x:c r="P452" s="18" t="str"/>
      <x:c r="Q452" s="16" t="str"/>
      <x:c r="R452" s="16" t="str"/>
      <x:c r="S452" s="16" t="str"/>
      <x:c r="T452" s="18" t="str"/>
      <x:c r="U452" s="16" t="str"/>
      <x:c r="V452" s="16" t="n">
        <x:v>0</x:v>
      </x:c>
    </x:row>
    <x:row r="453">
      <x:c r="A453" s="16" t="str">
        <x:v>FWPRO-ACCESSIBILITY_REG-004</x:v>
      </x:c>
      <x:c r="B453" s="16" t="str">
        <x:v>ACCESSIBILITY_REG</x:v>
      </x:c>
      <x:c r="C453" s="16" t="str">
        <x:v>Accessibility conformance governance</x:v>
      </x:c>
      <x:c r="D453" s="16" t="str">
        <x:v>Record exceptions, remediation owners and dates for accessibility defects.</x:v>
      </x:c>
      <x:c r="E453" s="16" t="str">
        <x:v>An accountable owner/reviewer confirms the control using current artifacts or reproducible test steps; exceptions have rationale, approver, compensating control and expiry. Control objective: Record exceptions, remediation owners and dates for accessibility defects.</x:v>
      </x:c>
      <x:c r="F453" s="16" t="str">
        <x:v>Reviewer steps, expected/observed result, sanitized evidence, impact, reviewer and approval/ticket.</x:v>
      </x:c>
      <x:c r="G453" s="16" t="str">
        <x:v>manual_review</x:v>
      </x:c>
      <x:c r="H453" s="16" t="str">
        <x:v>P2</x:v>
      </x:c>
      <x:c r="I453" s="16" t="str">
        <x:v>conditional</x:v>
      </x:c>
      <x:c r="J453" s="16" t="str">
        <x:v>adjacent; conditional; supporting | adjacent; conditional; supporting</x:v>
      </x:c>
      <x:c r="K453" s="16" t="str">
        <x:v>WCAG22; EN301549; ISO27001</x:v>
      </x:c>
      <x:c r="L453" s="16" t="str">
        <x:v>W3C Web Content Accessibility Guidelines (2.2 W3C Recommendation); ETSI EN 301 549 accessibility requirements for ICT (Use current applicable edition); ISO/IEC 27001 (2022)</x:v>
      </x:c>
      <x:c r="M453" s="16" t="str">
        <x:v>https://www.w3.org/TR/WCAG22/; https://www.etsi.org/standards; https://www.iso.org/standard/27001</x:v>
      </x:c>
      <x:c r="N453" s="16" t="str">
        <x:v>not_assessed</x:v>
      </x:c>
      <x:c r="O453" s="16" t="str"/>
      <x:c r="P453" s="18" t="str"/>
      <x:c r="Q453" s="16" t="str"/>
      <x:c r="R453" s="16" t="str"/>
      <x:c r="S453" s="16" t="str"/>
      <x:c r="T453" s="18" t="str"/>
      <x:c r="U453" s="16" t="str"/>
      <x:c r="V453" s="16" t="n">
        <x:v>0</x:v>
      </x:c>
    </x:row>
    <x:row r="454">
      <x:c r="A454" s="16" t="str">
        <x:v>FWPRO-IDENTITY_PROTOCOLS-001</x:v>
      </x:c>
      <x:c r="B454" s="16" t="str">
        <x:v>IDENTITY_PROTOCOLS</x:v>
      </x:c>
      <x:c r="C454" s="16" t="str">
        <x:v>Identity protocol configuration and token lifecycle</x:v>
      </x:c>
      <x:c r="D454" s="16" t="str">
        <x:v>Publish and validate authorization-server metadata where supported.</x:v>
      </x:c>
      <x:c r="E454" s="16" t="str">
        <x:v>An accountable owner/reviewer confirms the control using current artifacts or reproducible test steps; exceptions have rationale, approver, compensating control and expiry. Control objective: Publish and validate authorization-server metadata where supported.</x:v>
      </x:c>
      <x:c r="F454" s="16" t="str">
        <x:v>Reviewer steps, expected/observed result, sanitized evidence, impact, reviewer and approval/ticket.</x:v>
      </x:c>
      <x:c r="G454" s="16" t="str">
        <x:v>manual_review</x:v>
      </x:c>
      <x:c r="H454" s="16" t="str">
        <x:v>P1</x:v>
      </x:c>
      <x:c r="I454" s="16" t="str">
        <x:v>conditional</x:v>
      </x:c>
      <x:c r="J454" s="16" t="str">
        <x:v>conditional; direct; supporting | conditional; direct; supporting</x:v>
      </x:c>
      <x:c r="K454" s="16" t="str">
        <x:v>NIST_800_63; OAUTH_RFC9700; JWT_RFC8725; OIDC; PKCE_RFC7636; OWASP_ASVS; NIST_800_53</x:v>
      </x:c>
      <x:c r="L454" s="16" t="str">
        <x:v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x:v>
      </x:c>
      <x:c r="M454" s="16" t="str">
        <x:v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x:v>
      </x:c>
      <x:c r="N454" s="16" t="str">
        <x:v>not_assessed</x:v>
      </x:c>
      <x:c r="O454" s="16" t="str"/>
      <x:c r="P454" s="18" t="str"/>
      <x:c r="Q454" s="16" t="str"/>
      <x:c r="R454" s="16" t="str"/>
      <x:c r="S454" s="16" t="str"/>
      <x:c r="T454" s="18" t="str"/>
      <x:c r="U454" s="16" t="str"/>
      <x:c r="V454" s="16" t="n">
        <x:v>0</x:v>
      </x:c>
    </x:row>
    <x:row r="455">
      <x:c r="A455" s="16" t="str">
        <x:v>FWPRO-IDENTITY_PROTOCOLS-002</x:v>
      </x:c>
      <x:c r="B455" s="16" t="str">
        <x:v>IDENTITY_PROTOCOLS</x:v>
      </x:c>
      <x:c r="C455" s="16" t="str">
        <x:v>Identity protocol configuration and token lifecycle</x:v>
      </x:c>
      <x:c r="D455" s="16" t="str">
        <x:v>Validate ID token issuer, audience, nonce, signature, expiry and token type in OIDC clients.</x:v>
      </x:c>
      <x:c r="E455" s="16" t="str">
        <x:v>An accountable owner/reviewer confirms the control using current artifacts or reproducible test steps; exceptions have rationale, approver, compensating control and expiry. Control objective: Validate ID token issuer, audience, nonce, signature, expiry and token type in OIDC clients.</x:v>
      </x:c>
      <x:c r="F455" s="16" t="str">
        <x:v>Reviewer steps, expected/observed result, sanitized evidence, impact, reviewer and approval/ticket.</x:v>
      </x:c>
      <x:c r="G455" s="16" t="str">
        <x:v>manual_review</x:v>
      </x:c>
      <x:c r="H455" s="16" t="str">
        <x:v>P1</x:v>
      </x:c>
      <x:c r="I455" s="16" t="str">
        <x:v>conditional</x:v>
      </x:c>
      <x:c r="J455" s="16" t="str">
        <x:v>conditional; direct; supporting | conditional; direct; supporting</x:v>
      </x:c>
      <x:c r="K455" s="16" t="str">
        <x:v>NIST_800_63; OAUTH_RFC9700; JWT_RFC8725; OIDC; PKCE_RFC7636; OWASP_ASVS; NIST_800_53</x:v>
      </x:c>
      <x:c r="L455" s="16" t="str">
        <x:v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x:v>
      </x:c>
      <x:c r="M455" s="16" t="str">
        <x:v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x:v>
      </x:c>
      <x:c r="N455" s="16" t="str">
        <x:v>not_assessed</x:v>
      </x:c>
      <x:c r="O455" s="16" t="str"/>
      <x:c r="P455" s="18" t="str"/>
      <x:c r="Q455" s="16" t="str"/>
      <x:c r="R455" s="16" t="str"/>
      <x:c r="S455" s="16" t="str"/>
      <x:c r="T455" s="18" t="str"/>
      <x:c r="U455" s="16" t="str"/>
      <x:c r="V455" s="16" t="n">
        <x:v>0</x:v>
      </x:c>
    </x:row>
    <x:row r="456">
      <x:c r="A456" s="16" t="str">
        <x:v>FWPRO-IDENTITY_PROTOCOLS-003</x:v>
      </x:c>
      <x:c r="B456" s="16" t="str">
        <x:v>IDENTITY_PROTOCOLS</x:v>
      </x:c>
      <x:c r="C456" s="16" t="str">
        <x:v>Identity protocol configuration and token lifecycle</x:v>
      </x:c>
      <x:c r="D456" s="16" t="str">
        <x:v>Reject OAuth redirect URIs that are not exact registered matches, except protocol-defined native loopback cases.</x:v>
      </x:c>
      <x:c r="E456" s="16" t="str">
        <x:v>An accountable owner/reviewer confirms the control using current artifacts or reproducible test steps; exceptions have rationale, approver, compensating control and expiry. Control objective: Reject OAuth redirect URIs that are not exact registered matches, except protocol-defined native loopback cases.</x:v>
      </x:c>
      <x:c r="F456" s="16" t="str">
        <x:v>Reviewer steps, expected/observed result, sanitized evidence, impact, reviewer and approval/ticket.</x:v>
      </x:c>
      <x:c r="G456" s="16" t="str">
        <x:v>manual_review</x:v>
      </x:c>
      <x:c r="H456" s="16" t="str">
        <x:v>P1</x:v>
      </x:c>
      <x:c r="I456" s="16" t="str">
        <x:v>conditional</x:v>
      </x:c>
      <x:c r="J456" s="16" t="str">
        <x:v>conditional; direct; supporting | conditional; direct; supporting</x:v>
      </x:c>
      <x:c r="K456" s="16" t="str">
        <x:v>NIST_800_63; OAUTH_RFC9700; JWT_RFC8725; OIDC; PKCE_RFC7636; OWASP_ASVS; NIST_800_53</x:v>
      </x:c>
      <x:c r="L456" s="16" t="str">
        <x:v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x:v>
      </x:c>
      <x:c r="M456" s="16" t="str">
        <x:v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x:v>
      </x:c>
      <x:c r="N456" s="16" t="str">
        <x:v>not_assessed</x:v>
      </x:c>
      <x:c r="O456" s="16" t="str"/>
      <x:c r="P456" s="18" t="str"/>
      <x:c r="Q456" s="16" t="str"/>
      <x:c r="R456" s="16" t="str"/>
      <x:c r="S456" s="16" t="str"/>
      <x:c r="T456" s="18" t="str"/>
      <x:c r="U456" s="16" t="str"/>
      <x:c r="V456" s="16" t="n">
        <x:v>0</x:v>
      </x:c>
    </x:row>
    <x:row r="457">
      <x:c r="A457" s="16" t="str">
        <x:v>FWPRO-IDENTITY_PROTOCOLS-004</x:v>
      </x:c>
      <x:c r="B457" s="16" t="str">
        <x:v>IDENTITY_PROTOCOLS</x:v>
      </x:c>
      <x:c r="C457" s="16" t="str">
        <x:v>Identity protocol configuration and token lifecycle</x:v>
      </x:c>
      <x:c r="D457" s="16" t="str">
        <x:v>Use modern OAuth flows and reject deprecated/insecure grants or response patterns where applicable.</x:v>
      </x:c>
      <x:c r="E457" s="16" t="str">
        <x:v>An accountable owner/reviewer confirms the control using current artifacts or reproducible test steps; exceptions have rationale, approver, compensating control and expiry. Control objective: Use modern OAuth flows and reject deprecated/insecure grants or response patterns where applicable.</x:v>
      </x:c>
      <x:c r="F457" s="16" t="str">
        <x:v>Reviewer steps, expected/observed result, sanitized evidence, impact, reviewer and approval/ticket.</x:v>
      </x:c>
      <x:c r="G457" s="16" t="str">
        <x:v>manual_review</x:v>
      </x:c>
      <x:c r="H457" s="16" t="str">
        <x:v>P1</x:v>
      </x:c>
      <x:c r="I457" s="16" t="str">
        <x:v>conditional</x:v>
      </x:c>
      <x:c r="J457" s="16" t="str">
        <x:v>conditional; direct; supporting | conditional; direct; supporting</x:v>
      </x:c>
      <x:c r="K457" s="16" t="str">
        <x:v>NIST_800_63; OAUTH_RFC9700; JWT_RFC8725; OIDC; PKCE_RFC7636; OWASP_ASVS; NIST_800_53</x:v>
      </x:c>
      <x:c r="L457" s="16" t="str">
        <x:v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x:v>
      </x:c>
      <x:c r="M457" s="16" t="str">
        <x:v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x:v>
      </x:c>
      <x:c r="N457" s="16" t="str">
        <x:v>not_assessed</x:v>
      </x:c>
      <x:c r="O457" s="16" t="str"/>
      <x:c r="P457" s="18" t="str"/>
      <x:c r="Q457" s="16" t="str"/>
      <x:c r="R457" s="16" t="str"/>
      <x:c r="S457" s="16" t="str"/>
      <x:c r="T457" s="18" t="str"/>
      <x:c r="U457" s="16" t="str"/>
      <x:c r="V457" s="16" t="n">
        <x:v>0</x:v>
      </x:c>
    </x:row>
    <x:row r="458">
      <x:c r="A458" s="16" t="str">
        <x:v>FWPRO-IDENTITY_PROTOCOLS-005</x:v>
      </x:c>
      <x:c r="B458" s="16" t="str">
        <x:v>IDENTITY_PROTOCOLS</x:v>
      </x:c>
      <x:c r="C458" s="16" t="str">
        <x:v>Identity protocol configuration and token lifecycle</x:v>
      </x:c>
      <x:c r="D458" s="16" t="str">
        <x:v>Scope access tokens narrowly and enforce audience/resource-server validation.</x:v>
      </x:c>
      <x:c r="E458" s="16" t="str">
        <x:v>An accountable owner/reviewer confirms the control using current artifacts or reproducible test steps; exceptions have rationale, approver, compensating control and expiry. Control objective: Scope access tokens narrowly and enforce audience/resource-server validation.</x:v>
      </x:c>
      <x:c r="F458" s="16" t="str">
        <x:v>Reviewer steps, expected/observed result, sanitized evidence, impact, reviewer and approval/ticket.</x:v>
      </x:c>
      <x:c r="G458" s="16" t="str">
        <x:v>manual_review</x:v>
      </x:c>
      <x:c r="H458" s="16" t="str">
        <x:v>P1</x:v>
      </x:c>
      <x:c r="I458" s="16" t="str">
        <x:v>conditional</x:v>
      </x:c>
      <x:c r="J458" s="16" t="str">
        <x:v>conditional; direct; supporting | conditional; direct; supporting</x:v>
      </x:c>
      <x:c r="K458" s="16" t="str">
        <x:v>NIST_800_63; OAUTH_RFC9700; JWT_RFC8725; OIDC; PKCE_RFC7636; OWASP_ASVS; NIST_800_53</x:v>
      </x:c>
      <x:c r="L458" s="16" t="str">
        <x:v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x:v>
      </x:c>
      <x:c r="M458" s="16" t="str">
        <x:v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x:v>
      </x:c>
      <x:c r="N458" s="16" t="str">
        <x:v>not_assessed</x:v>
      </x:c>
      <x:c r="O458" s="16" t="str"/>
      <x:c r="P458" s="18" t="str"/>
      <x:c r="Q458" s="16" t="str"/>
      <x:c r="R458" s="16" t="str"/>
      <x:c r="S458" s="16" t="str"/>
      <x:c r="T458" s="18" t="str"/>
      <x:c r="U458" s="16" t="str"/>
      <x:c r="V458" s="16" t="n">
        <x:v>0</x:v>
      </x:c>
    </x:row>
    <x:row r="459">
      <x:c r="A459" s="16" t="str">
        <x:v>FWPRO-IDENTITY_PROTOCOLS-006</x:v>
      </x:c>
      <x:c r="B459" s="16" t="str">
        <x:v>IDENTITY_PROTOCOLS</x:v>
      </x:c>
      <x:c r="C459" s="16" t="str">
        <x:v>Identity protocol configuration and token lifecycle</x:v>
      </x:c>
      <x:c r="D459" s="16" t="str">
        <x:v>Define token revocation, rotation and incident handling for stolen credentials.</x:v>
      </x:c>
      <x:c r="E459" s="16" t="str">
        <x:v>An accountable owner/reviewer confirms the control using current artifacts or reproducible test steps; exceptions have rationale, approver, compensating control and expiry. Control objective: Define token revocation, rotation and incident handling for stolen credentials.</x:v>
      </x:c>
      <x:c r="F459" s="16" t="str">
        <x:v>Reviewer steps, expected/observed result, sanitized evidence, impact, reviewer and approval/ticket.</x:v>
      </x:c>
      <x:c r="G459" s="16" t="str">
        <x:v>manual_review</x:v>
      </x:c>
      <x:c r="H459" s="16" t="str">
        <x:v>P1</x:v>
      </x:c>
      <x:c r="I459" s="16" t="str">
        <x:v>conditional</x:v>
      </x:c>
      <x:c r="J459" s="16" t="str">
        <x:v>conditional; direct; supporting | conditional; direct; supporting</x:v>
      </x:c>
      <x:c r="K459" s="16" t="str">
        <x:v>NIST_800_63; OAUTH_RFC9700; JWT_RFC8725; OIDC; PKCE_RFC7636; OWASP_ASVS; NIST_800_53</x:v>
      </x:c>
      <x:c r="L459" s="16" t="str">
        <x:v>NIST SP 800-63 Digital Identity Guidelines (Revision 4 (2025)); IETF RFC 9700 OAuth 2.0 Security BCP (2025); IETF RFC 8725 JWT Best Current Practices (2020); OpenID Connect Core (1.0 with errata; verify current spec set); IETF RFC 7636 PKCE (2015); OWASP Application Security Verification Standard (5.0.0 (stable)); NIST SP 800-53 Security and Privacy Controls (Rev. 5 + current errata)</x:v>
      </x:c>
      <x:c r="M459" s="16" t="str">
        <x:v>https://csrc.nist.gov/pubs/sp/800/63/4/final; https://www.rfc-editor.org/rfc/rfc9700.html; https://www.rfc-editor.org/rfc/rfc8725.html; https://openid.net/specs/openid-connect-core-1_0.html; https://www.rfc-editor.org/rfc/rfc7636.html; https://owasp.org/www-project-application-security-verification-standard/; https://csrc.nist.gov/pubs/sp/800/53/r5/upd1/final</x:v>
      </x:c>
      <x:c r="N459" s="16" t="str">
        <x:v>not_assessed</x:v>
      </x:c>
      <x:c r="O459" s="16" t="str"/>
      <x:c r="P459" s="18" t="str"/>
      <x:c r="Q459" s="16" t="str"/>
      <x:c r="R459" s="16" t="str"/>
      <x:c r="S459" s="16" t="str"/>
      <x:c r="T459" s="18" t="str"/>
      <x:c r="U459" s="16" t="str"/>
      <x:c r="V459" s="16" t="n">
        <x:v>0</x:v>
      </x:c>
    </x:row>
    <x:row r="460">
      <x:c r="A460" s="16" t="str">
        <x:v>FWPRO-HTTP_PROTOCOLS-001</x:v>
      </x:c>
      <x:c r="B460" s="16" t="str">
        <x:v>HTTP_PROTOCOLS</x:v>
      </x:c>
      <x:c r="C460" s="16" t="str">
        <x:v>Protocol correctness and edge cases</x:v>
      </x:c>
      <x:c r="D460" s="16" t="str">
        <x:v>Handle HTTP methods and status codes consistently with the intended resource semantics.</x:v>
      </x:c>
      <x:c r="E460" s="16" t="str">
        <x:v>A repeatable, bounded check produces current sanitized evidence for this control, or explicitly marks it blocked/not-tested. Finding absence alone is not proof of compliance. Control objective: Handle HTTP methods and status codes consistently with the intended resource semantics.</x:v>
      </x:c>
      <x:c r="F460" s="16" t="str">
        <x:v>Bounded read-only request/response comparison, sanitized evidence and request/response identifiers.</x:v>
      </x:c>
      <x:c r="G460" s="16" t="str">
        <x:v>automated_readonly</x:v>
      </x:c>
      <x:c r="H460" s="16" t="str">
        <x:v>P2</x:v>
      </x:c>
      <x:c r="I460" s="16" t="str">
        <x:v>core</x:v>
      </x:c>
      <x:c r="J460" s="16" t="str">
        <x:v>direct; supporting | direct; supporting</x:v>
      </x:c>
      <x:c r="K460" s="16" t="str">
        <x:v>HTTP_RFC9110; OWASP_WSTG; OWASP_ASVS; OWASP_TOP10; OWASP_API; CWE_TOP25</x:v>
      </x:c>
      <x:c r="L460" s="16" t="str">
        <x:v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x:v>
      </x:c>
      <x:c r="M460" s="16" t="str">
        <x:v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x:v>
      </x:c>
      <x:c r="N460" s="16" t="str">
        <x:v>not_assessed</x:v>
      </x:c>
      <x:c r="O460" s="16" t="str"/>
      <x:c r="P460" s="18" t="str"/>
      <x:c r="Q460" s="16" t="str"/>
      <x:c r="R460" s="16" t="str"/>
      <x:c r="S460" s="16" t="str"/>
      <x:c r="T460" s="18" t="str"/>
      <x:c r="U460" s="16" t="str"/>
      <x:c r="V460" s="16" t="n">
        <x:v>0</x:v>
      </x:c>
    </x:row>
    <x:row r="461">
      <x:c r="A461" s="16" t="str">
        <x:v>FWPRO-HTTP_PROTOCOLS-002</x:v>
      </x:c>
      <x:c r="B461" s="16" t="str">
        <x:v>HTTP_PROTOCOLS</x:v>
      </x:c>
      <x:c r="C461" s="16" t="str">
        <x:v>Protocol correctness and edge cases</x:v>
      </x:c>
      <x:c r="D461" s="16" t="str">
        <x:v>Reject malformed request framing and ambiguous content-length/transfer-encoding combinations at trusted gateways.</x:v>
      </x:c>
      <x:c r="E461" s="16" t="str">
        <x:v>A repeatable, bounded check produces current sanitized evidence for this control, or explicitly marks it blocked/not-tested. Finding absence alone is not proof of compliance. Control objective: Reject malformed request framing and ambiguous content-length/transfer-encoding combinations at trusted gateways.</x:v>
      </x:c>
      <x:c r="F461" s="16" t="str">
        <x:v>Bounded read-only request/response comparison, sanitized evidence and request/response identifiers.</x:v>
      </x:c>
      <x:c r="G461" s="16" t="str">
        <x:v>automated_readonly</x:v>
      </x:c>
      <x:c r="H461" s="16" t="str">
        <x:v>P2</x:v>
      </x:c>
      <x:c r="I461" s="16" t="str">
        <x:v>core</x:v>
      </x:c>
      <x:c r="J461" s="16" t="str">
        <x:v>direct; supporting | direct; supporting</x:v>
      </x:c>
      <x:c r="K461" s="16" t="str">
        <x:v>HTTP_RFC9110; OWASP_WSTG; OWASP_ASVS; OWASP_TOP10; OWASP_API; CWE_TOP25</x:v>
      </x:c>
      <x:c r="L461" s="16" t="str">
        <x:v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x:v>
      </x:c>
      <x:c r="M461" s="16" t="str">
        <x:v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x:v>
      </x:c>
      <x:c r="N461" s="16" t="str">
        <x:v>not_assessed</x:v>
      </x:c>
      <x:c r="O461" s="16" t="str"/>
      <x:c r="P461" s="18" t="str"/>
      <x:c r="Q461" s="16" t="str"/>
      <x:c r="R461" s="16" t="str"/>
      <x:c r="S461" s="16" t="str"/>
      <x:c r="T461" s="18" t="str"/>
      <x:c r="U461" s="16" t="str"/>
      <x:c r="V461" s="16" t="n">
        <x:v>0</x:v>
      </x:c>
    </x:row>
    <x:row r="462">
      <x:c r="A462" s="16" t="str">
        <x:v>FWPRO-HTTP_PROTOCOLS-003</x:v>
      </x:c>
      <x:c r="B462" s="16" t="str">
        <x:v>HTTP_PROTOCOLS</x:v>
      </x:c>
      <x:c r="C462" s="16" t="str">
        <x:v>Protocol correctness and edge cases</x:v>
      </x:c>
      <x:c r="D462" s="16" t="str">
        <x:v>Normalize header names case-insensitively without allowing duplicate security-sensitive fields to bypass policy.</x:v>
      </x:c>
      <x:c r="E462" s="16" t="str">
        <x:v>A repeatable, bounded check produces current sanitized evidence for this control, or explicitly marks it blocked/not-tested. Finding absence alone is not proof of compliance. Control objective: Normalize header names case-insensitively without allowing duplicate security-sensitive fields to bypass policy.</x:v>
      </x:c>
      <x:c r="F462" s="16" t="str">
        <x:v>Bounded read-only request/response comparison, sanitized evidence and request/response identifiers.</x:v>
      </x:c>
      <x:c r="G462" s="16" t="str">
        <x:v>automated_readonly</x:v>
      </x:c>
      <x:c r="H462" s="16" t="str">
        <x:v>P2</x:v>
      </x:c>
      <x:c r="I462" s="16" t="str">
        <x:v>core</x:v>
      </x:c>
      <x:c r="J462" s="16" t="str">
        <x:v>direct; supporting | direct; supporting</x:v>
      </x:c>
      <x:c r="K462" s="16" t="str">
        <x:v>HTTP_RFC9110; OWASP_WSTG; OWASP_ASVS; OWASP_TOP10; OWASP_API; CWE_TOP25</x:v>
      </x:c>
      <x:c r="L462" s="16" t="str">
        <x:v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x:v>
      </x:c>
      <x:c r="M462" s="16" t="str">
        <x:v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x:v>
      </x:c>
      <x:c r="N462" s="16" t="str">
        <x:v>not_assessed</x:v>
      </x:c>
      <x:c r="O462" s="16" t="str"/>
      <x:c r="P462" s="18" t="str"/>
      <x:c r="Q462" s="16" t="str"/>
      <x:c r="R462" s="16" t="str"/>
      <x:c r="S462" s="16" t="str"/>
      <x:c r="T462" s="18" t="str"/>
      <x:c r="U462" s="16" t="str"/>
      <x:c r="V462" s="16" t="n">
        <x:v>0</x:v>
      </x:c>
    </x:row>
    <x:row r="463">
      <x:c r="A463" s="16" t="str">
        <x:v>FWPRO-HTTP_PROTOCOLS-004</x:v>
      </x:c>
      <x:c r="B463" s="16" t="str">
        <x:v>HTTP_PROTOCOLS</x:v>
      </x:c>
      <x:c r="C463" s="16" t="str">
        <x:v>Protocol correctness and edge cases</x:v>
      </x:c>
      <x:c r="D463" s="16" t="str">
        <x:v>Avoid request smuggling-prone disagreement between reverse proxies and application servers.</x:v>
      </x:c>
      <x:c r="E463" s="16" t="str">
        <x:v>A repeatable, bounded check produces current sanitized evidence for this control, or explicitly marks it blocked/not-tested. Finding absence alone is not proof of compliance. Control objective: Avoid request smuggling-prone disagreement between reverse proxies and application servers.</x:v>
      </x:c>
      <x:c r="F463" s="16" t="str">
        <x:v>Bounded read-only request/response comparison, sanitized evidence and request/response identifiers.</x:v>
      </x:c>
      <x:c r="G463" s="16" t="str">
        <x:v>automated_readonly</x:v>
      </x:c>
      <x:c r="H463" s="16" t="str">
        <x:v>P2</x:v>
      </x:c>
      <x:c r="I463" s="16" t="str">
        <x:v>core</x:v>
      </x:c>
      <x:c r="J463" s="16" t="str">
        <x:v>direct; supporting | direct; supporting</x:v>
      </x:c>
      <x:c r="K463" s="16" t="str">
        <x:v>HTTP_RFC9110; OWASP_WSTG; OWASP_ASVS; OWASP_TOP10; OWASP_API; CWE_TOP25</x:v>
      </x:c>
      <x:c r="L463" s="16" t="str">
        <x:v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x:v>
      </x:c>
      <x:c r="M463" s="16" t="str">
        <x:v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x:v>
      </x:c>
      <x:c r="N463" s="16" t="str">
        <x:v>not_assessed</x:v>
      </x:c>
      <x:c r="O463" s="16" t="str"/>
      <x:c r="P463" s="18" t="str"/>
      <x:c r="Q463" s="16" t="str"/>
      <x:c r="R463" s="16" t="str"/>
      <x:c r="S463" s="16" t="str"/>
      <x:c r="T463" s="18" t="str"/>
      <x:c r="U463" s="16" t="str"/>
      <x:c r="V463" s="16" t="n">
        <x:v>0</x:v>
      </x:c>
    </x:row>
    <x:row r="464">
      <x:c r="A464" s="16" t="str">
        <x:v>FWPRO-HTTP_PROTOCOLS-005</x:v>
      </x:c>
      <x:c r="B464" s="16" t="str">
        <x:v>HTTP_PROTOCOLS</x:v>
      </x:c>
      <x:c r="C464" s="16" t="str">
        <x:v>Protocol correctness and edge cases</x:v>
      </x:c>
      <x:c r="D464" s="16" t="str">
        <x:v>Apply body/header size and timeout limits consistently across proxies and origin services.</x:v>
      </x:c>
      <x:c r="E464" s="16" t="str">
        <x:v>A repeatable, bounded check produces current sanitized evidence for this control, or explicitly marks it blocked/not-tested. Finding absence alone is not proof of compliance. Control objective: Apply body/header size and timeout limits consistently across proxies and origin services.</x:v>
      </x:c>
      <x:c r="F464" s="16" t="str">
        <x:v>Bounded read-only request/response comparison, sanitized evidence and request/response identifiers.</x:v>
      </x:c>
      <x:c r="G464" s="16" t="str">
        <x:v>automated_readonly</x:v>
      </x:c>
      <x:c r="H464" s="16" t="str">
        <x:v>P2</x:v>
      </x:c>
      <x:c r="I464" s="16" t="str">
        <x:v>core</x:v>
      </x:c>
      <x:c r="J464" s="16" t="str">
        <x:v>direct; supporting | direct; supporting</x:v>
      </x:c>
      <x:c r="K464" s="16" t="str">
        <x:v>HTTP_RFC9110; OWASP_WSTG; OWASP_ASVS; OWASP_TOP10; OWASP_API; CWE_TOP25</x:v>
      </x:c>
      <x:c r="L464" s="16" t="str">
        <x:v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x:v>
      </x:c>
      <x:c r="M464" s="16" t="str">
        <x:v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x:v>
      </x:c>
      <x:c r="N464" s="16" t="str">
        <x:v>not_assessed</x:v>
      </x:c>
      <x:c r="O464" s="16" t="str"/>
      <x:c r="P464" s="18" t="str"/>
      <x:c r="Q464" s="16" t="str"/>
      <x:c r="R464" s="16" t="str"/>
      <x:c r="S464" s="16" t="str"/>
      <x:c r="T464" s="18" t="str"/>
      <x:c r="U464" s="16" t="str"/>
      <x:c r="V464" s="16" t="n">
        <x:v>0</x:v>
      </x:c>
    </x:row>
    <x:row r="465">
      <x:c r="A465" s="16" t="str">
        <x:v>FWPRO-HTTP_PROTOCOLS-006</x:v>
      </x:c>
      <x:c r="B465" s="16" t="str">
        <x:v>HTTP_PROTOCOLS</x:v>
      </x:c>
      <x:c r="C465" s="16" t="str">
        <x:v>Protocol correctness and edge cases</x:v>
      </x:c>
      <x:c r="D465" s="16" t="str">
        <x:v>Do not expose TRACE or unexpected administrative methods without a documented requirement.</x:v>
      </x:c>
      <x:c r="E465" s="16" t="str">
        <x:v>A repeatable, bounded check produces current sanitized evidence for this control, or explicitly marks it blocked/not-tested. Finding absence alone is not proof of compliance. Control objective: Do not expose TRACE or unexpected administrative methods without a documented requirement.</x:v>
      </x:c>
      <x:c r="F465" s="16" t="str">
        <x:v>Bounded read-only request/response comparison, sanitized evidence and request/response identifiers.</x:v>
      </x:c>
      <x:c r="G465" s="16" t="str">
        <x:v>automated_readonly</x:v>
      </x:c>
      <x:c r="H465" s="16" t="str">
        <x:v>P2</x:v>
      </x:c>
      <x:c r="I465" s="16" t="str">
        <x:v>core</x:v>
      </x:c>
      <x:c r="J465" s="16" t="str">
        <x:v>direct; supporting | direct; supporting</x:v>
      </x:c>
      <x:c r="K465" s="16" t="str">
        <x:v>HTTP_RFC9110; OWASP_WSTG; OWASP_ASVS; OWASP_TOP10; OWASP_API; CWE_TOP25</x:v>
      </x:c>
      <x:c r="L465" s="16" t="str">
        <x:v>IETF RFC 9110 HTTP Semantics (2022, current with subsequent RFC updates); OWASP Web Security Testing Guide (v4.2 (current stable)); OWASP Application Security Verification Standard (5.0.0 (stable)); OWASP Top 10 (2025 (released)); OWASP API Security Top 10 (2023); MITRE CWE Top 25 (2025)</x:v>
      </x:c>
      <x:c r="M465" s="16" t="str">
        <x:v>https://www.rfc-editor.org/rfc/rfc9110.html; https://owasp.org/www-project-web-security-testing-guide/v42/; https://owasp.org/www-project-application-security-verification-standard/; https://owasp.org/projects/top-ten; https://owasp.org/www-project-api-security/; https://cwe.mitre.org/top25/archive/2025/2025_cwe_top25</x:v>
      </x:c>
      <x:c r="N465" s="16" t="str">
        <x:v>not_assessed</x:v>
      </x:c>
      <x:c r="O465" s="16" t="str"/>
      <x:c r="P465" s="18" t="str"/>
      <x:c r="Q465" s="16" t="str"/>
      <x:c r="R465" s="16" t="str"/>
      <x:c r="S465" s="16" t="str"/>
      <x:c r="T465" s="18" t="str"/>
      <x:c r="U465" s="16" t="str"/>
      <x:c r="V465" s="16" t="n">
        <x:v>0</x:v>
      </x:c>
    </x:row>
    <x:row r="466">
      <x:c r="A466" s="16" t="str">
        <x:v>FWPRO-SUPPORT-001</x:v>
      </x:c>
      <x:c r="B466" s="16" t="str">
        <x:v>SUPPORT</x:v>
      </x:c>
      <x:c r="C466" s="16" t="str">
        <x:v>Security support, customer communication and disclosure</x:v>
      </x:c>
      <x:c r="D466" s="16" t="str">
        <x:v>Publish security contact metadata such as security.txt according to the chosen policy and RFC guidance.</x:v>
      </x:c>
      <x:c r="E466" s="16" t="str">
        <x:v>An accountable owner/reviewer confirms the control using current artifacts or reproducible test steps; exceptions have rationale, approver, compensating control and expiry. Control objective: Publish security contact metadata such as security.txt according to the chosen policy and RFC guidance.</x:v>
      </x:c>
      <x:c r="F466" s="16" t="str">
        <x:v>Reviewer steps, expected/observed result, sanitized evidence, impact, reviewer and approval/ticket.</x:v>
      </x:c>
      <x:c r="G466" s="16" t="str">
        <x:v>manual_review</x:v>
      </x:c>
      <x:c r="H466" s="16" t="str">
        <x:v>P2</x:v>
      </x:c>
      <x:c r="I466" s="16" t="str">
        <x:v>core</x:v>
      </x:c>
      <x:c r="J466" s="16" t="str">
        <x:v>supporting | supporting</x:v>
      </x:c>
      <x:c r="K466" s="16" t="str">
        <x:v>ISO29147; ISO30111; NIST_800_61; CISA_SECURE_BY_DESIGN</x:v>
      </x:c>
      <x:c r="L466" s="16" t="str">
        <x:v>ISO/IEC 29147 Vulnerability Disclosure (2018; reviewed/confirmed current in 2024); ISO/IEC 30111 Vulnerability Handling (2019; reviewed/confirmed current in 2025); NIST SP 800-61 Incident Response (Rev. 3 (2025)); CISA Secure by Design Pledge (Voluntary pledge)</x:v>
      </x:c>
      <x:c r="M466" s="16" t="str">
        <x:v>https://www.iso.org/standard/72311.html; https://www.iso.org/standard/69725.html; https://csrc.nist.gov/pubs/sp/800/61/r3/final; https://www.cisa.gov/securebydesign</x:v>
      </x:c>
      <x:c r="N466" s="16" t="str">
        <x:v>not_assessed</x:v>
      </x:c>
      <x:c r="O466" s="16" t="str"/>
      <x:c r="P466" s="18" t="str"/>
      <x:c r="Q466" s="16" t="str"/>
      <x:c r="R466" s="16" t="str"/>
      <x:c r="S466" s="16" t="str"/>
      <x:c r="T466" s="18" t="str"/>
      <x:c r="U466" s="16" t="str"/>
      <x:c r="V466" s="16" t="n">
        <x:v>0</x:v>
      </x:c>
    </x:row>
    <x:row r="467">
      <x:c r="A467" s="16" t="str">
        <x:v>FWPRO-SUPPORT-002</x:v>
      </x:c>
      <x:c r="B467" s="16" t="str">
        <x:v>SUPPORT</x:v>
      </x:c>
      <x:c r="C467" s="16" t="str">
        <x:v>Security support, customer communication and disclosure</x:v>
      </x:c>
      <x:c r="D467" s="16" t="str">
        <x:v>Provide a clear intake process for researchers with acknowledgment and safe-harbor terms where appropriate.</x:v>
      </x:c>
      <x:c r="E467" s="16" t="str">
        <x:v>An accountable owner/reviewer confirms the control using current artifacts or reproducible test steps; exceptions have rationale, approver, compensating control and expiry. Control objective: Provide a clear intake process for researchers with acknowledgment and safe-harbor terms where appropriate.</x:v>
      </x:c>
      <x:c r="F467" s="16" t="str">
        <x:v>Reviewer steps, expected/observed result, sanitized evidence, impact, reviewer and approval/ticket.</x:v>
      </x:c>
      <x:c r="G467" s="16" t="str">
        <x:v>manual_review</x:v>
      </x:c>
      <x:c r="H467" s="16" t="str">
        <x:v>P2</x:v>
      </x:c>
      <x:c r="I467" s="16" t="str">
        <x:v>core</x:v>
      </x:c>
      <x:c r="J467" s="16" t="str">
        <x:v>supporting | supporting</x:v>
      </x:c>
      <x:c r="K467" s="16" t="str">
        <x:v>ISO29147; ISO30111; NIST_800_61; CISA_SECURE_BY_DESIGN</x:v>
      </x:c>
      <x:c r="L467" s="16" t="str">
        <x:v>ISO/IEC 29147 Vulnerability Disclosure (2018; reviewed/confirmed current in 2024); ISO/IEC 30111 Vulnerability Handling (2019; reviewed/confirmed current in 2025); NIST SP 800-61 Incident Response (Rev. 3 (2025)); CISA Secure by Design Pledge (Voluntary pledge)</x:v>
      </x:c>
      <x:c r="M467" s="16" t="str">
        <x:v>https://www.iso.org/standard/72311.html; https://www.iso.org/standard/69725.html; https://csrc.nist.gov/pubs/sp/800/61/r3/final; https://www.cisa.gov/securebydesign</x:v>
      </x:c>
      <x:c r="N467" s="16" t="str">
        <x:v>not_assessed</x:v>
      </x:c>
      <x:c r="O467" s="16" t="str"/>
      <x:c r="P467" s="18" t="str"/>
      <x:c r="Q467" s="16" t="str"/>
      <x:c r="R467" s="16" t="str"/>
      <x:c r="S467" s="16" t="str"/>
      <x:c r="T467" s="18" t="str"/>
      <x:c r="U467" s="16" t="str"/>
      <x:c r="V467" s="16" t="n">
        <x:v>0</x:v>
      </x:c>
    </x:row>
    <x:row r="468">
      <x:c r="A468" s="16" t="str">
        <x:v>FWPRO-SUPPORT-003</x:v>
      </x:c>
      <x:c r="B468" s="16" t="str">
        <x:v>SUPPORT</x:v>
      </x:c>
      <x:c r="C468" s="16" t="str">
        <x:v>Security support, customer communication and disclosure</x:v>
      </x:c>
      <x:c r="D468" s="16" t="str">
        <x:v>Define coordinated disclosure timelines, customer notification criteria and embargo handling.</x:v>
      </x:c>
      <x:c r="E468" s="16" t="str">
        <x:v>An accountable owner/reviewer confirms the control using current artifacts or reproducible test steps; exceptions have rationale, approver, compensating control and expiry. Control objective: Define coordinated disclosure timelines, customer notification criteria and embargo handling.</x:v>
      </x:c>
      <x:c r="F468" s="16" t="str">
        <x:v>Reviewer steps, expected/observed result, sanitized evidence, impact, reviewer and approval/ticket.</x:v>
      </x:c>
      <x:c r="G468" s="16" t="str">
        <x:v>manual_review</x:v>
      </x:c>
      <x:c r="H468" s="16" t="str">
        <x:v>P2</x:v>
      </x:c>
      <x:c r="I468" s="16" t="str">
        <x:v>core</x:v>
      </x:c>
      <x:c r="J468" s="16" t="str">
        <x:v>supporting | supporting</x:v>
      </x:c>
      <x:c r="K468" s="16" t="str">
        <x:v>ISO29147; ISO30111; NIST_800_61; CISA_SECURE_BY_DESIGN</x:v>
      </x:c>
      <x:c r="L468" s="16" t="str">
        <x:v>ISO/IEC 29147 Vulnerability Disclosure (2018; reviewed/confirmed current in 2024); ISO/IEC 30111 Vulnerability Handling (2019; reviewed/confirmed current in 2025); NIST SP 800-61 Incident Response (Rev. 3 (2025)); CISA Secure by Design Pledge (Voluntary pledge)</x:v>
      </x:c>
      <x:c r="M468" s="16" t="str">
        <x:v>https://www.iso.org/standard/72311.html; https://www.iso.org/standard/69725.html; https://csrc.nist.gov/pubs/sp/800/61/r3/final; https://www.cisa.gov/securebydesign</x:v>
      </x:c>
      <x:c r="N468" s="16" t="str">
        <x:v>not_assessed</x:v>
      </x:c>
      <x:c r="O468" s="16" t="str"/>
      <x:c r="P468" s="18" t="str"/>
      <x:c r="Q468" s="16" t="str"/>
      <x:c r="R468" s="16" t="str"/>
      <x:c r="S468" s="16" t="str"/>
      <x:c r="T468" s="18" t="str"/>
      <x:c r="U468" s="16" t="str"/>
      <x:c r="V468" s="16" t="n">
        <x:v>0</x:v>
      </x:c>
    </x:row>
    <x:row r="469">
      <x:c r="A469" s="16" t="str">
        <x:v>FWPRO-SUPPORT-004</x:v>
      </x:c>
      <x:c r="B469" s="16" t="str">
        <x:v>SUPPORT</x:v>
      </x:c>
      <x:c r="C469" s="16" t="str">
        <x:v>Security support, customer communication and disclosure</x:v>
      </x:c>
      <x:c r="D469" s="16" t="str">
        <x:v>Ensure advisories identify affected versions, severity rationale, mitigation and fixed versions.</x:v>
      </x:c>
      <x:c r="E469" s="16" t="str">
        <x:v>An accountable owner/reviewer confirms the control using current artifacts or reproducible test steps; exceptions have rationale, approver, compensating control and expiry. Control objective: Ensure advisories identify affected versions, severity rationale, mitigation and fixed versions.</x:v>
      </x:c>
      <x:c r="F469" s="16" t="str">
        <x:v>Reviewer steps, expected/observed result, sanitized evidence, impact, reviewer and approval/ticket.</x:v>
      </x:c>
      <x:c r="G469" s="16" t="str">
        <x:v>manual_review</x:v>
      </x:c>
      <x:c r="H469" s="16" t="str">
        <x:v>P2</x:v>
      </x:c>
      <x:c r="I469" s="16" t="str">
        <x:v>core</x:v>
      </x:c>
      <x:c r="J469" s="16" t="str">
        <x:v>supporting | supporting</x:v>
      </x:c>
      <x:c r="K469" s="16" t="str">
        <x:v>ISO29147; ISO30111; NIST_800_61; CISA_SECURE_BY_DESIGN</x:v>
      </x:c>
      <x:c r="L469" s="16" t="str">
        <x:v>ISO/IEC 29147 Vulnerability Disclosure (2018; reviewed/confirmed current in 2024); ISO/IEC 30111 Vulnerability Handling (2019; reviewed/confirmed current in 2025); NIST SP 800-61 Incident Response (Rev. 3 (2025)); CISA Secure by Design Pledge (Voluntary pledge)</x:v>
      </x:c>
      <x:c r="M469" s="16" t="str">
        <x:v>https://www.iso.org/standard/72311.html; https://www.iso.org/standard/69725.html; https://csrc.nist.gov/pubs/sp/800/61/r3/final; https://www.cisa.gov/securebydesign</x:v>
      </x:c>
      <x:c r="N469" s="16" t="str">
        <x:v>not_assessed</x:v>
      </x:c>
      <x:c r="O469" s="16" t="str"/>
      <x:c r="P469" s="18" t="str"/>
      <x:c r="Q469" s="16" t="str"/>
      <x:c r="R469" s="16" t="str"/>
      <x:c r="S469" s="16" t="str"/>
      <x:c r="T469" s="18" t="str"/>
      <x:c r="U469" s="16" t="str"/>
      <x:c r="V469" s="16" t="n">
        <x:v>0</x:v>
      </x:c>
    </x:row>
    <x:row r="470">
      <x:c r="A470" s="16" t="str">
        <x:v>FWPRO-SUPPORT-005</x:v>
      </x:c>
      <x:c r="B470" s="16" t="str">
        <x:v>SUPPORT</x:v>
      </x:c>
      <x:c r="C470" s="16" t="str">
        <x:v>Security support, customer communication and disclosure</x:v>
      </x:c>
      <x:c r="D470" s="16" t="str">
        <x:v>Track external vulnerability reports through closure and feed lessons learned into product tests.</x:v>
      </x:c>
      <x:c r="E470" s="16" t="str">
        <x:v>An accountable owner/reviewer confirms the control using current artifacts or reproducible test steps; exceptions have rationale, approver, compensating control and expiry. Control objective: Track external vulnerability reports through closure and feed lessons learned into product tests.</x:v>
      </x:c>
      <x:c r="F470" s="16" t="str">
        <x:v>Reviewer steps, expected/observed result, sanitized evidence, impact, reviewer and approval/ticket.</x:v>
      </x:c>
      <x:c r="G470" s="16" t="str">
        <x:v>manual_review</x:v>
      </x:c>
      <x:c r="H470" s="16" t="str">
        <x:v>P2</x:v>
      </x:c>
      <x:c r="I470" s="16" t="str">
        <x:v>core</x:v>
      </x:c>
      <x:c r="J470" s="16" t="str">
        <x:v>supporting | supporting</x:v>
      </x:c>
      <x:c r="K470" s="16" t="str">
        <x:v>ISO29147; ISO30111; NIST_800_61; CISA_SECURE_BY_DESIGN</x:v>
      </x:c>
      <x:c r="L470" s="16" t="str">
        <x:v>ISO/IEC 29147 Vulnerability Disclosure (2018; reviewed/confirmed current in 2024); ISO/IEC 30111 Vulnerability Handling (2019; reviewed/confirmed current in 2025); NIST SP 800-61 Incident Response (Rev. 3 (2025)); CISA Secure by Design Pledge (Voluntary pledge)</x:v>
      </x:c>
      <x:c r="M470" s="16" t="str">
        <x:v>https://www.iso.org/standard/72311.html; https://www.iso.org/standard/69725.html; https://csrc.nist.gov/pubs/sp/800/61/r3/final; https://www.cisa.gov/securebydesign</x:v>
      </x:c>
      <x:c r="N470" s="16" t="str">
        <x:v>not_assessed</x:v>
      </x:c>
      <x:c r="O470" s="16" t="str"/>
      <x:c r="P470" s="18" t="str"/>
      <x:c r="Q470" s="16" t="str"/>
      <x:c r="R470" s="16" t="str"/>
      <x:c r="S470" s="16" t="str"/>
      <x:c r="T470" s="18" t="str"/>
      <x:c r="U470" s="16" t="str"/>
      <x:c r="V470" s="16" t="n">
        <x:v>0</x:v>
      </x:c>
    </x:row>
  </x:sheetData>
  <x:conditionalFormatting sqref="N2:N470">
    <x:cfRule type="expression" dxfId="0" priority="1">
      <x:formula>N2="compliant"</x:formula>
    </x:cfRule>
    <x:cfRule type="expression" dxfId="1" priority="2">
      <x:formula>N2="non_compliant"</x:formula>
    </x:cfRule>
    <x:cfRule type="expression" dxfId="2" priority="3">
      <x:formula>N2="partially_compliant"</x:formula>
    </x:cfRule>
  </x:conditionalFormatting>
  <x:dataValidations count="2">
    <x:dataValidation type="list" sqref="N2:N470">
      <x:formula1>"not_assessed,compliant,partially_compliant,non_compliant,not_applicable,blocked,evidence_pending"</x:formula1>
    </x:dataValidation>
    <x:dataValidation type="list" sqref="H2:H470">
      <x:formula1>"P0,P1,P2,P3"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8351450cff4d6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3" hidden="0" customWidth="1"/>
    <x:col min="3" max="3" width="36" hidden="0" customWidth="1"/>
    <x:col min="4" max="4" width="16" hidden="0" customWidth="1"/>
    <x:col min="5" max="5" width="35" hidden="0" customWidth="1"/>
    <x:col min="6" max="6" width="20" hidden="0" customWidth="1"/>
    <x:col min="7" max="7" width="58" hidden="0" customWidth="1"/>
    <x:col min="8" max="8" width="66" hidden="0" customWidth="1"/>
    <x:col min="9" max="9" width="16" hidden="0" customWidth="1"/>
  </x:cols>
  <x:sheetData>
    <x:row r="1" ht="32" customHeight="1">
      <x:c r="A1" s="6" t="str">
        <x:v>Framework ID</x:v>
      </x:c>
      <x:c r="B1" s="6" t="str">
        <x:v>Name</x:v>
      </x:c>
      <x:c r="C1" s="6" t="str">
        <x:v>Version / Status</x:v>
      </x:c>
      <x:c r="D1" s="6" t="str">
        <x:v>Relationship</x:v>
      </x:c>
      <x:c r="E1" s="6" t="str">
        <x:v>Applicability</x:v>
      </x:c>
      <x:c r="F1" s="6" t="str">
        <x:v>Mapped Control Count</x:v>
      </x:c>
      <x:c r="G1" s="6" t="str">
        <x:v>Use and Limitations</x:v>
      </x:c>
      <x:c r="H1" s="6" t="str">
        <x:v>Official URL</x:v>
      </x:c>
      <x:c r="I1" s="6" t="str">
        <x:v>Last Verified</x:v>
      </x:c>
    </x:row>
    <x:row r="2">
      <x:c r="A2" s="12" t="str">
        <x:v>OWASP_ASVS</x:v>
      </x:c>
      <x:c r="B2" s="12" t="str">
        <x:v>OWASP Application Security Verification Standard</x:v>
      </x:c>
      <x:c r="C2" s="12" t="str">
        <x:v>5.0.0 (stable)</x:v>
      </x:c>
      <x:c r="D2" s="12" t="str">
        <x:v>direct</x:v>
      </x:c>
      <x:c r="E2" s="12" t="str">
        <x:v>Web applications and APIs</x:v>
      </x:c>
      <x:c r="F2" s="12" t="n">
        <x:v>328</x:v>
      </x:c>
      <x:c r="G2" s="12" t="str">
        <x:v>Technical application-security verification baseline; checklist maps relevant families and is not a verbatim full ASVS export.</x:v>
      </x:c>
      <x:c r="H2" s="20" t="str">
        <x:v>https://owasp.org/www-project-application-security-verification-standard/</x:v>
      </x:c>
      <x:c r="I2" s="12" t="str">
        <x:v>2026-10-15</x:v>
      </x:c>
    </x:row>
    <x:row r="3">
      <x:c r="A3" s="12" t="str">
        <x:v>OWASP_WSTG</x:v>
      </x:c>
      <x:c r="B3" s="12" t="str">
        <x:v>OWASP Web Security Testing Guide</x:v>
      </x:c>
      <x:c r="C3" s="12" t="str">
        <x:v>v4.2 (current stable)</x:v>
      </x:c>
      <x:c r="D3" s="12" t="str">
        <x:v>direct</x:v>
      </x:c>
      <x:c r="E3" s="12" t="str">
        <x:v>Web application security testing</x:v>
      </x:c>
      <x:c r="F3" s="12" t="n">
        <x:v>259</x:v>
      </x:c>
      <x:c r="G3" s="12" t="str">
        <x:v>Testing methodology and test-family reference; some tests require accounts, code access, specialist tools, or manual validation.</x:v>
      </x:c>
      <x:c r="H3" s="20" t="str">
        <x:v>https://owasp.org/www-project-web-security-testing-guide/v42/</x:v>
      </x:c>
      <x:c r="I3" s="12" t="str">
        <x:v>2026-10-15</x:v>
      </x:c>
    </x:row>
    <x:row r="4">
      <x:c r="A4" s="12" t="str">
        <x:v>OWASP_TOP10</x:v>
      </x:c>
      <x:c r="B4" s="12" t="str">
        <x:v>OWASP Top 10</x:v>
      </x:c>
      <x:c r="C4" s="12" t="str">
        <x:v>2025 (released)</x:v>
      </x:c>
      <x:c r="D4" s="12" t="str">
        <x:v>direct</x:v>
      </x:c>
      <x:c r="E4" s="12" t="str">
        <x:v>Web application risk awareness</x:v>
      </x:c>
      <x:c r="F4" s="12" t="n">
        <x:v>225</x:v>
      </x:c>
      <x:c r="G4" s="12" t="str">
        <x:v>Risk-awareness taxonomy; not a complete test suite or certification standard.</x:v>
      </x:c>
      <x:c r="H4" s="20" t="str">
        <x:v>https://owasp.org/projects/top-ten</x:v>
      </x:c>
      <x:c r="I4" s="12" t="str">
        <x:v>2026-10-15</x:v>
      </x:c>
    </x:row>
    <x:row r="5">
      <x:c r="A5" s="12" t="str">
        <x:v>OWASP_API</x:v>
      </x:c>
      <x:c r="B5" s="12" t="str">
        <x:v>OWASP API Security Top 10</x:v>
      </x:c>
      <x:c r="C5" s="12" t="str">
        <x:v>2023</x:v>
      </x:c>
      <x:c r="D5" s="12" t="str">
        <x:v>direct</x:v>
      </x:c>
      <x:c r="E5" s="12" t="str">
        <x:v>REST, GraphQL and other APIs</x:v>
      </x:c>
      <x:c r="F5" s="12" t="n">
        <x:v>136</x:v>
      </x:c>
      <x:c r="G5" s="12" t="str">
        <x:v>API risk taxonomy; BOLA, authentication, property/function authorization, resource use, SSRF, inventory and unsafe API consumption require contextual tests.</x:v>
      </x:c>
      <x:c r="H5" s="20" t="str">
        <x:v>https://owasp.org/www-project-api-security/</x:v>
      </x:c>
      <x:c r="I5" s="12" t="str">
        <x:v>2026-10-15</x:v>
      </x:c>
    </x:row>
    <x:row r="6">
      <x:c r="A6" s="12" t="str">
        <x:v>OWASP_CHEATSHEETS</x:v>
      </x:c>
      <x:c r="B6" s="12" t="str">
        <x:v>OWASP Cheat Sheet Series</x:v>
      </x:c>
      <x:c r="C6" s="12" t="str">
        <x:v>Rolling community guidance</x:v>
      </x:c>
      <x:c r="D6" s="12" t="str">
        <x:v>supporting</x:v>
      </x:c>
      <x:c r="E6" s="12" t="str">
        <x:v>Implementation and remediation guidance</x:v>
      </x:c>
      <x:c r="F6" s="12" t="n">
        <x:v>60</x:v>
      </x:c>
      <x:c r="G6" s="12" t="str">
        <x:v>Practical guidance, not a certifiable standard; use topic-specific current sheets.</x:v>
      </x:c>
      <x:c r="H6" s="20" t="str">
        <x:v>https://cheatsheetseries.owasp.org/</x:v>
      </x:c>
      <x:c r="I6" s="12" t="str">
        <x:v>2026-10-15</x:v>
      </x:c>
    </x:row>
    <x:row r="7">
      <x:c r="A7" s="12" t="str">
        <x:v>OWASP_SAMM</x:v>
      </x:c>
      <x:c r="B7" s="12" t="str">
        <x:v>OWASP Software Assurance Maturity Model</x:v>
      </x:c>
      <x:c r="C7" s="12" t="str">
        <x:v>2.2.0 (project-listed)</x:v>
      </x:c>
      <x:c r="D7" s="12" t="str">
        <x:v>supporting</x:v>
      </x:c>
      <x:c r="E7" s="12" t="str">
        <x:v>Secure SDLC and organization maturity</x:v>
      </x:c>
      <x:c r="F7" s="12" t="n">
        <x:v>66</x:v>
      </x:c>
      <x:c r="G7" s="12" t="str">
        <x:v>Maturity model for governance, design, implementation, verification and operations; primarily evidence/interview based.</x:v>
      </x:c>
      <x:c r="H7" s="20" t="str">
        <x:v>https://owaspsamm.org/model/</x:v>
      </x:c>
      <x:c r="I7" s="12" t="str">
        <x:v>2026-10-15</x:v>
      </x:c>
    </x:row>
    <x:row r="8">
      <x:c r="A8" s="12" t="str">
        <x:v>OWASP_MASVS</x:v>
      </x:c>
      <x:c r="B8" s="12" t="str">
        <x:v>OWASP Mobile Application Security Verification Standard</x:v>
      </x:c>
      <x:c r="C8" s="12" t="str">
        <x:v>Current project edition; verify at assessment time</x:v>
      </x:c>
      <x:c r="D8" s="12" t="str">
        <x:v>conditional</x:v>
      </x:c>
      <x:c r="E8" s="12" t="str">
        <x:v>Only if native/hybrid mobile clients are in scope</x:v>
      </x:c>
      <x:c r="F8" s="12" t="n">
        <x:v>10</x:v>
      </x:c>
      <x:c r="G8" s="12" t="str">
        <x:v>Mobile-app standard; a web-only scan cannot establish mobile conformance.</x:v>
      </x:c>
      <x:c r="H8" s="20" t="str">
        <x:v>https://mas.owasp.org/MASVS/</x:v>
      </x:c>
      <x:c r="I8" s="12" t="str">
        <x:v>2026-10-15</x:v>
      </x:c>
    </x:row>
    <x:row r="9">
      <x:c r="A9" s="12" t="str">
        <x:v>OWASP_MASTG</x:v>
      </x:c>
      <x:c r="B9" s="12" t="str">
        <x:v>OWASP Mobile Application Security Testing Guide</x:v>
      </x:c>
      <x:c r="C9" s="12" t="str">
        <x:v>Rolling project content</x:v>
      </x:c>
      <x:c r="D9" s="12" t="str">
        <x:v>conditional</x:v>
      </x:c>
      <x:c r="E9" s="12" t="str">
        <x:v>Only for mobile apps and their platform interactions</x:v>
      </x:c>
      <x:c r="F9" s="12" t="n">
        <x:v>10</x:v>
      </x:c>
      <x:c r="G9" s="12" t="str">
        <x:v>Mobile testing methodology; requires binaries/devices/source in many cases.</x:v>
      </x:c>
      <x:c r="H9" s="20" t="str">
        <x:v>https://mas.owasp.org/MASTG/</x:v>
      </x:c>
      <x:c r="I9" s="12" t="str">
        <x:v>2026-10-15</x:v>
      </x:c>
    </x:row>
    <x:row r="10">
      <x:c r="A10" s="12" t="str">
        <x:v>OWASP_LLM</x:v>
      </x:c>
      <x:c r="B10" s="12" t="str">
        <x:v>OWASP Top 10 for LLM Applications</x:v>
      </x:c>
      <x:c r="C10" s="12" t="str">
        <x:v>2025</x:v>
      </x:c>
      <x:c r="D10" s="12" t="str">
        <x:v>conditional</x:v>
      </x:c>
      <x:c r="E10" s="12" t="str">
        <x:v>Only where LLM/GenAI features or agents exist</x:v>
      </x:c>
      <x:c r="F10" s="12" t="n">
        <x:v>14</x:v>
      </x:c>
      <x:c r="G10" s="12" t="str">
        <x:v>AI-specific risk awareness, including prompt injection, data disclosure, supply chain, poisoning, output handling and excessive agency.</x:v>
      </x:c>
      <x:c r="H10" s="20" t="str">
        <x:v>https://genai.owasp.org/llm-top-10/</x:v>
      </x:c>
      <x:c r="I10" s="12" t="str">
        <x:v>2026-10-15</x:v>
      </x:c>
    </x:row>
    <x:row r="11">
      <x:c r="A11" s="12" t="str">
        <x:v>OWASP_ATWA</x:v>
      </x:c>
      <x:c r="B11" s="12" t="str">
        <x:v>OWASP Automated Threats to Web Applications</x:v>
      </x:c>
      <x:c r="C11" s="12" t="str">
        <x:v>2023 project edition / verify current project page</x:v>
      </x:c>
      <x:c r="D11" s="12" t="str">
        <x:v>supporting</x:v>
      </x:c>
      <x:c r="E11" s="12" t="str">
        <x:v>Public-facing signup, checkout, scraping and sensitive flows</x:v>
      </x:c>
      <x:c r="F11" s="12" t="n">
        <x:v>30</x:v>
      </x:c>
      <x:c r="G11" s="12" t="str">
        <x:v>Bot/automation-abuse guidance; detection often needs business telemetry and product owner input.</x:v>
      </x:c>
      <x:c r="H11" s="20" t="str">
        <x:v>https://owasp.org/www-project-automated-threats-to-web-applications/</x:v>
      </x:c>
      <x:c r="I11" s="12" t="str">
        <x:v>2026-10-15</x:v>
      </x:c>
    </x:row>
    <x:row r="12">
      <x:c r="A12" s="12" t="str">
        <x:v>OWASP_CLOUD_NATIVE</x:v>
      </x:c>
      <x:c r="B12" s="12" t="str">
        <x:v>OWASP Cloud-Native Application Security Top 10</x:v>
      </x:c>
      <x:c r="C12" s="12" t="str">
        <x:v>Project material marked interim/under review</x:v>
      </x:c>
      <x:c r="D12" s="12" t="str">
        <x:v>adjacent</x:v>
      </x:c>
      <x:c r="E12" s="12" t="str">
        <x:v>Cloud-native, container, orchestration and microservice deployments</x:v>
      </x:c>
      <x:c r="F12" s="12" t="n">
        <x:v>18</x:v>
      </x:c>
      <x:c r="G12" s="12" t="str">
        <x:v>Use as supplemental guidance only, not as a stable compliance baseline.</x:v>
      </x:c>
      <x:c r="H12" s="20" t="str">
        <x:v>https://owasp.org/projects/cloud-native-application-security-top-10</x:v>
      </x:c>
      <x:c r="I12" s="12" t="str">
        <x:v>2026-10-15</x:v>
      </x:c>
    </x:row>
    <x:row r="13">
      <x:c r="A13" s="12" t="str">
        <x:v>NIST_800_115</x:v>
      </x:c>
      <x:c r="B13" s="12" t="str">
        <x:v>NIST SP 800-115</x:v>
      </x:c>
      <x:c r="C13" s="12" t="str">
        <x:v>2008 (published guide; check errata/current context)</x:v>
      </x:c>
      <x:c r="D13" s="12" t="str">
        <x:v>supporting</x:v>
      </x:c>
      <x:c r="E13" s="12" t="str">
        <x:v>Planning/conduct/reporting of technical security tests</x:v>
      </x:c>
      <x:c r="F13" s="12" t="n">
        <x:v>52</x:v>
      </x:c>
      <x:c r="G13" s="12" t="str">
        <x:v>Assessment methodology; it explicitly is not a complete organization-wide testing program.</x:v>
      </x:c>
      <x:c r="H13" s="20" t="str">
        <x:v>https://csrc.nist.gov/pubs/sp/800/115/final</x:v>
      </x:c>
      <x:c r="I13" s="12" t="str">
        <x:v>2026-10-15</x:v>
      </x:c>
    </x:row>
    <x:row r="14">
      <x:c r="A14" s="12" t="str">
        <x:v>NIST_SSDF</x:v>
      </x:c>
      <x:c r="B14" s="12" t="str">
        <x:v>NIST SP 800-218 Secure Software Development Framework</x:v>
      </x:c>
      <x:c r="C14" s="12" t="str">
        <x:v>1.1</x:v>
      </x:c>
      <x:c r="D14" s="12" t="str">
        <x:v>supporting</x:v>
      </x:c>
      <x:c r="E14" s="12" t="str">
        <x:v>Software supplier and secure SDLC</x:v>
      </x:c>
      <x:c r="F14" s="12" t="n">
        <x:v>87</x:v>
      </x:c>
      <x:c r="G14" s="12" t="str">
        <x:v>Process controls for producing and maintaining secure software.</x:v>
      </x:c>
      <x:c r="H14" s="20" t="str">
        <x:v>https://csrc.nist.gov/pubs/sp/800/218/final</x:v>
      </x:c>
      <x:c r="I14" s="12" t="str">
        <x:v>2026-10-15</x:v>
      </x:c>
    </x:row>
    <x:row r="15">
      <x:c r="A15" s="12" t="str">
        <x:v>NIST_CSF</x:v>
      </x:c>
      <x:c r="B15" s="12" t="str">
        <x:v>NIST Cybersecurity Framework</x:v>
      </x:c>
      <x:c r="C15" s="12" t="str">
        <x:v>2.0</x:v>
      </x:c>
      <x:c r="D15" s="12" t="str">
        <x:v>supporting</x:v>
      </x:c>
      <x:c r="E15" s="12" t="str">
        <x:v>Organization-wide cyber risk governance</x:v>
      </x:c>
      <x:c r="F15" s="12" t="n">
        <x:v>187</x:v>
      </x:c>
      <x:c r="G15" s="12" t="str">
        <x:v>Outcome taxonomy across Govern, Identify, Protect, Detect, Respond and Recover; not a prescriptive checklist by itself.</x:v>
      </x:c>
      <x:c r="H15" s="20" t="str">
        <x:v>https://www.nist.gov/cyberframework</x:v>
      </x:c>
      <x:c r="I15" s="12" t="str">
        <x:v>2026-10-15</x:v>
      </x:c>
    </x:row>
    <x:row r="16">
      <x:c r="A16" s="12" t="str">
        <x:v>NIST_800_53</x:v>
      </x:c>
      <x:c r="B16" s="12" t="str">
        <x:v>NIST SP 800-53 Security and Privacy Controls</x:v>
      </x:c>
      <x:c r="C16" s="12" t="str">
        <x:v>Rev. 5 + current errata</x:v>
      </x:c>
      <x:c r="D16" s="12" t="str">
        <x:v>supporting</x:v>
      </x:c>
      <x:c r="E16" s="12" t="str">
        <x:v>Enterprise controls, especially government/high assurance</x:v>
      </x:c>
      <x:c r="F16" s="12" t="n">
        <x:v>210</x:v>
      </x:c>
      <x:c r="G16" s="12" t="str">
        <x:v>Large control catalog; this checklist maps broad families, not every control enhancement.</x:v>
      </x:c>
      <x:c r="H16" s="20" t="str">
        <x:v>https://csrc.nist.gov/pubs/sp/800/53/r5/upd1/final</x:v>
      </x:c>
      <x:c r="I16" s="12" t="str">
        <x:v>2026-10-15</x:v>
      </x:c>
    </x:row>
    <x:row r="17">
      <x:c r="A17" s="12" t="str">
        <x:v>NIST_800_63</x:v>
      </x:c>
      <x:c r="B17" s="12" t="str">
        <x:v>NIST SP 800-63 Digital Identity Guidelines</x:v>
      </x:c>
      <x:c r="C17" s="12" t="str">
        <x:v>Revision 4 (2025)</x:v>
      </x:c>
      <x:c r="D17" s="12" t="str">
        <x:v>supporting</x:v>
      </x:c>
      <x:c r="E17" s="12" t="str">
        <x:v>Identity proofing, authentication and federation; especially relevant government systems</x:v>
      </x:c>
      <x:c r="F17" s="12" t="n">
        <x:v>59</x:v>
      </x:c>
      <x:c r="G17" s="12" t="str">
        <x:v>Use the applicable 63A/63B/63C volume and assurance level; web observation alone cannot prove conformance.</x:v>
      </x:c>
      <x:c r="H17" s="20" t="str">
        <x:v>https://csrc.nist.gov/pubs/sp/800/63/4/final</x:v>
      </x:c>
      <x:c r="I17" s="12" t="str">
        <x:v>2026-10-15</x:v>
      </x:c>
    </x:row>
    <x:row r="18">
      <x:c r="A18" s="12" t="str">
        <x:v>NIST_PRIVACY</x:v>
      </x:c>
      <x:c r="B18" s="12" t="str">
        <x:v>NIST Privacy Framework</x:v>
      </x:c>
      <x:c r="C18" s="12" t="str">
        <x:v>1.0</x:v>
      </x:c>
      <x:c r="D18" s="12" t="str">
        <x:v>supporting</x:v>
      </x:c>
      <x:c r="E18" s="12" t="str">
        <x:v>Privacy risk and PII processing</x:v>
      </x:c>
      <x:c r="F18" s="12" t="n">
        <x:v>42</x:v>
      </x:c>
      <x:c r="G18" s="12" t="str">
        <x:v>Voluntary privacy risk framework; does not itself establish legal compliance.</x:v>
      </x:c>
      <x:c r="H18" s="20" t="str">
        <x:v>https://www.nist.gov/privacy-framework</x:v>
      </x:c>
      <x:c r="I18" s="12" t="str">
        <x:v>2026-10-15</x:v>
      </x:c>
    </x:row>
    <x:row r="19">
      <x:c r="A19" s="12" t="str">
        <x:v>NIST_AI_RMF</x:v>
      </x:c>
      <x:c r="B19" s="12" t="str">
        <x:v>NIST AI Risk Management Framework</x:v>
      </x:c>
      <x:c r="C19" s="12" t="str">
        <x:v>1.0</x:v>
      </x:c>
      <x:c r="D19" s="12" t="str">
        <x:v>conditional</x:v>
      </x:c>
      <x:c r="E19" s="12" t="str">
        <x:v>Systems using AI/ML in consequential or user-facing workflows</x:v>
      </x:c>
      <x:c r="F19" s="12" t="n">
        <x:v>14</x:v>
      </x:c>
      <x:c r="G19" s="12" t="str">
        <x:v>AI lifecycle risk-management support; combine with a suitable use-case profile.</x:v>
      </x:c>
      <x:c r="H19" s="20" t="str">
        <x:v>https://www.nist.gov/itl/ai-risk-management-framework</x:v>
      </x:c>
      <x:c r="I19" s="12" t="str">
        <x:v>2026-10-15</x:v>
      </x:c>
    </x:row>
    <x:row r="20">
      <x:c r="A20" s="12" t="str">
        <x:v>NIST_AI_GENAI</x:v>
      </x:c>
      <x:c r="B20" s="12" t="str">
        <x:v>NIST AI RMF Generative AI Profile</x:v>
      </x:c>
      <x:c r="C20" s="12" t="str">
        <x:v>1.0</x:v>
      </x:c>
      <x:c r="D20" s="12" t="str">
        <x:v>conditional</x:v>
      </x:c>
      <x:c r="E20" s="12" t="str">
        <x:v>GenAI/LLM systems</x:v>
      </x:c>
      <x:c r="F20" s="12" t="n">
        <x:v>14</x:v>
      </x:c>
      <x:c r="G20" s="12" t="str">
        <x:v>AI-specific supplementary risk practices; not a web scanner test suite.</x:v>
      </x:c>
      <x:c r="H20" s="20" t="str">
        <x:v>https://www.nist.gov/itl/ai-risk-management-framework</x:v>
      </x:c>
      <x:c r="I20" s="12" t="str">
        <x:v>2026-10-15</x:v>
      </x:c>
    </x:row>
    <x:row r="21">
      <x:c r="A21" s="12" t="str">
        <x:v>NIST_800_61</x:v>
      </x:c>
      <x:c r="B21" s="12" t="str">
        <x:v>NIST SP 800-61 Incident Response</x:v>
      </x:c>
      <x:c r="C21" s="12" t="str">
        <x:v>Rev. 3 (2025)</x:v>
      </x:c>
      <x:c r="D21" s="12" t="str">
        <x:v>supporting</x:v>
      </x:c>
      <x:c r="E21" s="12" t="str">
        <x:v>Security incident response program</x:v>
      </x:c>
      <x:c r="F21" s="12" t="n">
        <x:v>50</x:v>
      </x:c>
      <x:c r="G21" s="12" t="str">
        <x:v>Incident response practices integrated with cybersecurity risk management.</x:v>
      </x:c>
      <x:c r="H21" s="20" t="str">
        <x:v>https://csrc.nist.gov/pubs/sp/800/61/r3/final</x:v>
      </x:c>
      <x:c r="I21" s="12" t="str">
        <x:v>2026-10-15</x:v>
      </x:c>
    </x:row>
    <x:row r="22">
      <x:c r="A22" s="12" t="str">
        <x:v>ISO27001</x:v>
      </x:c>
      <x:c r="B22" s="12" t="str">
        <x:v>ISO/IEC 27001</x:v>
      </x:c>
      <x:c r="C22" s="12" t="str">
        <x:v>2022</x:v>
      </x:c>
      <x:c r="D22" s="12" t="str">
        <x:v>supporting</x:v>
      </x:c>
      <x:c r="E22" s="12" t="str">
        <x:v>ISMS and organization-wide security governance</x:v>
      </x:c>
      <x:c r="F22" s="12" t="n">
        <x:v>148</x:v>
      </x:c>
      <x:c r="G22" s="12" t="str">
        <x:v>Requires organizational context, risk treatment, audit and management-system evidence; tool results cannot imply certification.</x:v>
      </x:c>
      <x:c r="H22" s="20" t="str">
        <x:v>https://www.iso.org/standard/27001</x:v>
      </x:c>
      <x:c r="I22" s="12" t="str">
        <x:v>2026-10-15</x:v>
      </x:c>
    </x:row>
    <x:row r="23">
      <x:c r="A23" s="12" t="str">
        <x:v>ISO27002</x:v>
      </x:c>
      <x:c r="B23" s="12" t="str">
        <x:v>ISO/IEC 27002</x:v>
      </x:c>
      <x:c r="C23" s="12" t="str">
        <x:v>2022</x:v>
      </x:c>
      <x:c r="D23" s="12" t="str">
        <x:v>supporting</x:v>
      </x:c>
      <x:c r="E23" s="12" t="str">
        <x:v>Information-security control guidance</x:v>
      </x:c>
      <x:c r="F23" s="12" t="n">
        <x:v>50</x:v>
      </x:c>
      <x:c r="G23" s="12" t="str">
        <x:v>Control guidance supporting selection/implementation of information-security controls.</x:v>
      </x:c>
      <x:c r="H23" s="20" t="str">
        <x:v>https://www.iso.org/standard/75652.html</x:v>
      </x:c>
      <x:c r="I23" s="12" t="str">
        <x:v>2026-10-15</x:v>
      </x:c>
    </x:row>
    <x:row r="24">
      <x:c r="A24" s="12" t="str">
        <x:v>ISO27034</x:v>
      </x:c>
      <x:c r="B24" s="12" t="str">
        <x:v>ISO/IEC 27034-1 Application Security</x:v>
      </x:c>
      <x:c r="C24" s="12" t="str">
        <x:v>2011; reviewed/confirmed current in 2022</x:v>
      </x:c>
      <x:c r="D24" s="12" t="str">
        <x:v>direct</x:v>
      </x:c>
      <x:c r="E24" s="12" t="str">
        <x:v>Application security lifecycle</x:v>
      </x:c>
      <x:c r="F24" s="12" t="n">
        <x:v>55</x:v>
      </x:c>
      <x:c r="G24" s="12" t="str">
        <x:v>Application-security concepts and lifecycle guidance.</x:v>
      </x:c>
      <x:c r="H24" s="20" t="str">
        <x:v>https://www.iso.org/standard/44378.html</x:v>
      </x:c>
      <x:c r="I24" s="12" t="str">
        <x:v>2026-10-15</x:v>
      </x:c>
    </x:row>
    <x:row r="25">
      <x:c r="A25" s="12" t="str">
        <x:v>ISO27017</x:v>
      </x:c>
      <x:c r="B25" s="12" t="str">
        <x:v>ISO/IEC 27017 Cloud Security Controls</x:v>
      </x:c>
      <x:c r="C25" s="12" t="str">
        <x:v>2026 edition</x:v>
      </x:c>
      <x:c r="D25" s="12" t="str">
        <x:v>conditional</x:v>
      </x:c>
      <x:c r="E25" s="12" t="str">
        <x:v>Cloud service providers and customers</x:v>
      </x:c>
      <x:c r="F25" s="12" t="n">
        <x:v>18</x:v>
      </x:c>
      <x:c r="G25" s="12" t="str">
        <x:v>Cloud-specific allocation of responsibilities; applicability depends on cloud model and contract.</x:v>
      </x:c>
      <x:c r="H25" s="20" t="str">
        <x:v>https://www.iso.org/standard/27017</x:v>
      </x:c>
      <x:c r="I25" s="12" t="str">
        <x:v>2026-10-15</x:v>
      </x:c>
    </x:row>
    <x:row r="26">
      <x:c r="A26" s="12" t="str">
        <x:v>ISO27701</x:v>
      </x:c>
      <x:c r="B26" s="12" t="str">
        <x:v>ISO/IEC 27701 Privacy Information Management</x:v>
      </x:c>
      <x:c r="C26" s="12" t="str">
        <x:v>2025 edition</x:v>
      </x:c>
      <x:c r="D26" s="12" t="str">
        <x:v>conditional</x:v>
      </x:c>
      <x:c r="E26" s="12" t="str">
        <x:v>PII controllers/processors needing a privacy management system</x:v>
      </x:c>
      <x:c r="F26" s="12" t="n">
        <x:v>28</x:v>
      </x:c>
      <x:c r="G26" s="12" t="str">
        <x:v>Privacy management system; cannot be concluded from external scanning alone.</x:v>
      </x:c>
      <x:c r="H26" s="20" t="str">
        <x:v>https://www.iso.org/standard/27701</x:v>
      </x:c>
      <x:c r="I26" s="12" t="str">
        <x:v>2026-10-15</x:v>
      </x:c>
    </x:row>
    <x:row r="27">
      <x:c r="A27" s="12" t="str">
        <x:v>ISO27035</x:v>
      </x:c>
      <x:c r="B27" s="12" t="str">
        <x:v>ISO/IEC 27035-1 Incident Management</x:v>
      </x:c>
      <x:c r="C27" s="12" t="str">
        <x:v>2023</x:v>
      </x:c>
      <x:c r="D27" s="12" t="str">
        <x:v>supporting</x:v>
      </x:c>
      <x:c r="E27" s="12" t="str">
        <x:v>Incident handling and lessons learned</x:v>
      </x:c>
      <x:c r="F27" s="12" t="n">
        <x:v>29</x:v>
      </x:c>
      <x:c r="G27" s="12" t="str">
        <x:v>Process guidance covering preparation, detection, reporting, response and lessons learned.</x:v>
      </x:c>
      <x:c r="H27" s="20" t="str">
        <x:v>https://www.iso.org/standard/78973.html</x:v>
      </x:c>
      <x:c r="I27" s="12" t="str">
        <x:v>2026-10-15</x:v>
      </x:c>
    </x:row>
    <x:row r="28">
      <x:c r="A28" s="12" t="str">
        <x:v>ISO29147</x:v>
      </x:c>
      <x:c r="B28" s="12" t="str">
        <x:v>ISO/IEC 29147 Vulnerability Disclosure</x:v>
      </x:c>
      <x:c r="C28" s="12" t="str">
        <x:v>2018; reviewed/confirmed current in 2024</x:v>
      </x:c>
      <x:c r="D28" s="12" t="str">
        <x:v>supporting</x:v>
      </x:c>
      <x:c r="E28" s="12" t="str">
        <x:v>Vulnerability disclosure processes</x:v>
      </x:c>
      <x:c r="F28" s="12" t="n">
        <x:v>32</x:v>
      </x:c>
      <x:c r="G28" s="12" t="str">
        <x:v>Coordinated disclosure policy and communications; applicable to product vendors.</x:v>
      </x:c>
      <x:c r="H28" s="20" t="str">
        <x:v>https://www.iso.org/standard/72311.html</x:v>
      </x:c>
      <x:c r="I28" s="12" t="str">
        <x:v>2026-10-15</x:v>
      </x:c>
    </x:row>
    <x:row r="29">
      <x:c r="A29" s="12" t="str">
        <x:v>ISO30111</x:v>
      </x:c>
      <x:c r="B29" s="12" t="str">
        <x:v>ISO/IEC 30111 Vulnerability Handling</x:v>
      </x:c>
      <x:c r="C29" s="12" t="str">
        <x:v>2019; reviewed/confirmed current in 2025</x:v>
      </x:c>
      <x:c r="D29" s="12" t="str">
        <x:v>supporting</x:v>
      </x:c>
      <x:c r="E29" s="12" t="str">
        <x:v>Internal product-vulnerability handling</x:v>
      </x:c>
      <x:c r="F29" s="12" t="n">
        <x:v>52</x:v>
      </x:c>
      <x:c r="G29" s="12" t="str">
        <x:v>Process for receiving, assessing, prioritizing and resolving potential vulnerabilities.</x:v>
      </x:c>
      <x:c r="H29" s="20" t="str">
        <x:v>https://www.iso.org/standard/69725.html</x:v>
      </x:c>
      <x:c r="I29" s="12" t="str">
        <x:v>2026-10-15</x:v>
      </x:c>
    </x:row>
    <x:row r="30">
      <x:c r="A30" s="12" t="str">
        <x:v>ISO31000</x:v>
      </x:c>
      <x:c r="B30" s="12" t="str">
        <x:v>ISO 31000 Risk Management</x:v>
      </x:c>
      <x:c r="C30" s="12" t="str">
        <x:v>2018; reviewed/confirmed current in 2023</x:v>
      </x:c>
      <x:c r="D30" s="12" t="str">
        <x:v>supporting</x:v>
      </x:c>
      <x:c r="E30" s="12" t="str">
        <x:v>Enterprise risk management</x:v>
      </x:c>
      <x:c r="F30" s="12" t="n">
        <x:v>78</x:v>
      </x:c>
      <x:c r="G30" s="12" t="str">
        <x:v>General risk-management guidelines, not a security testing specification.</x:v>
      </x:c>
      <x:c r="H30" s="20" t="str">
        <x:v>https://www.iso.org/standard/65694.html</x:v>
      </x:c>
      <x:c r="I30" s="12" t="str">
        <x:v>2026-10-15</x:v>
      </x:c>
    </x:row>
    <x:row r="31">
      <x:c r="A31" s="12" t="str">
        <x:v>GDPR</x:v>
      </x:c>
      <x:c r="B31" s="12" t="str">
        <x:v>EU General Data Protection Regulation</x:v>
      </x:c>
      <x:c r="C31" s="12" t="str">
        <x:v>Regulation (EU) 2016/679, as applicable/current consolidated text</x:v>
      </x:c>
      <x:c r="D31" s="12" t="str">
        <x:v>conditional</x:v>
      </x:c>
      <x:c r="E31" s="12" t="str">
        <x:v>Personal data processing within GDPR territorial/material scope</x:v>
      </x:c>
      <x:c r="F31" s="12" t="n">
        <x:v>28</x:v>
      </x:c>
      <x:c r="G31" s="12" t="str">
        <x:v>Conditional legal mapping; legal counsel/DPO must determine applicability and lawful basis. This checklist is not legal advice.</x:v>
      </x:c>
      <x:c r="H31" s="20" t="str">
        <x:v>https://eur-lex.europa.eu/eli/reg/2016/679/oj</x:v>
      </x:c>
      <x:c r="I31" s="12" t="str">
        <x:v>2026-10-15</x:v>
      </x:c>
    </x:row>
    <x:row r="32">
      <x:c r="A32" s="12" t="str">
        <x:v>NIS2</x:v>
      </x:c>
      <x:c r="B32" s="12" t="str">
        <x:v>EU NIS2 Directive</x:v>
      </x:c>
      <x:c r="C32" s="12" t="str">
        <x:v>Directive (EU) 2022/2555; national transposition applies</x:v>
      </x:c>
      <x:c r="D32" s="12" t="str">
        <x:v>conditional</x:v>
      </x:c>
      <x:c r="E32" s="12" t="str">
        <x:v>Entities/sectors covered by applicable national implementation</x:v>
      </x:c>
      <x:c r="F32" s="12" t="n">
        <x:v>12</x:v>
      </x:c>
      <x:c r="G32" s="12" t="str">
        <x:v>Scope depends on sector, size, jurisdiction and national transposition.</x:v>
      </x:c>
      <x:c r="H32" s="20" t="str">
        <x:v>https://eur-lex.europa.eu/eli/dir/2022/2555/oj</x:v>
      </x:c>
      <x:c r="I32" s="12" t="str">
        <x:v>2026-10-15</x:v>
      </x:c>
    </x:row>
    <x:row r="33">
      <x:c r="A33" s="12" t="str">
        <x:v>DORA</x:v>
      </x:c>
      <x:c r="B33" s="12" t="str">
        <x:v>EU Digital Operational Resilience Act</x:v>
      </x:c>
      <x:c r="C33" s="12" t="str">
        <x:v>Regulation (EU) 2022/2554</x:v>
      </x:c>
      <x:c r="D33" s="12" t="str">
        <x:v>conditional</x:v>
      </x:c>
      <x:c r="E33" s="12" t="str">
        <x:v>Financial entities and relevant ICT third-party arrangements</x:v>
      </x:c>
      <x:c r="F33" s="12" t="n">
        <x:v>12</x:v>
      </x:c>
      <x:c r="G33" s="12" t="str">
        <x:v>Conditional sectoral requirements; validate legal scope and detailed RTS/ITS obligations.</x:v>
      </x:c>
      <x:c r="H33" s="20" t="str">
        <x:v>https://eur-lex.europa.eu/eli/reg/2022/2554/oj</x:v>
      </x:c>
      <x:c r="I33" s="12" t="str">
        <x:v>2026-10-15</x:v>
      </x:c>
    </x:row>
    <x:row r="34">
      <x:c r="A34" s="12" t="str">
        <x:v>PCI_DSS</x:v>
      </x:c>
      <x:c r="B34" s="12" t="str">
        <x:v>PCI DSS</x:v>
      </x:c>
      <x:c r="C34" s="12" t="str">
        <x:v>v4.0.1</x:v>
      </x:c>
      <x:c r="D34" s="12" t="str">
        <x:v>conditional</x:v>
      </x:c>
      <x:c r="E34" s="12" t="str">
        <x:v>Environments in scope for payment account data</x:v>
      </x:c>
      <x:c r="F34" s="12" t="n">
        <x:v>28</x:v>
      </x:c>
      <x:c r="G34" s="12" t="str">
        <x:v>Use official PCI SSC documents and a qualified assessor as applicable; scan output does not prove PCI compliance.</x:v>
      </x:c>
      <x:c r="H34" s="20" t="str">
        <x:v>https://www.pcisecuritystandards.org/document_library/</x:v>
      </x:c>
      <x:c r="I34" s="12" t="str">
        <x:v>2026-10-15</x:v>
      </x:c>
    </x:row>
    <x:row r="35">
      <x:c r="A35" s="12" t="str">
        <x:v>HIPAA</x:v>
      </x:c>
      <x:c r="B35" s="12" t="str">
        <x:v>HIPAA Security Rule</x:v>
      </x:c>
      <x:c r="C35" s="12" t="str">
        <x:v>Current U.S. HHS rule and guidance</x:v>
      </x:c>
      <x:c r="D35" s="12" t="str">
        <x:v>conditional</x:v>
      </x:c>
      <x:c r="E35" s="12" t="str">
        <x:v>Covered entities/business associates handling ePHI in U.S. scope</x:v>
      </x:c>
      <x:c r="F35" s="12" t="n">
        <x:v>28</x:v>
      </x:c>
      <x:c r="G35" s="12" t="str">
        <x:v>Conditional legal/regulatory scope; consult HIPAA specialists.</x:v>
      </x:c>
      <x:c r="H35" s="20" t="str">
        <x:v>https://www.hhs.gov/hipaa/for-professionals/security/index.html</x:v>
      </x:c>
      <x:c r="I35" s="12" t="str">
        <x:v>2026-10-15</x:v>
      </x:c>
    </x:row>
    <x:row r="36">
      <x:c r="A36" s="12" t="str">
        <x:v>SOC2</x:v>
      </x:c>
      <x:c r="B36" s="12" t="str">
        <x:v>AICPA Trust Services Criteria / SOC 2</x:v>
      </x:c>
      <x:c r="C36" s="12" t="str">
        <x:v>Current licensed criteria; verify with AICPA</x:v>
      </x:c>
      <x:c r="D36" s="12" t="str">
        <x:v>conditional</x:v>
      </x:c>
      <x:c r="E36" s="12" t="str">
        <x:v>Organizations seeking SOC 2 examination</x:v>
      </x:c>
      <x:c r="F36" s="12" t="n">
        <x:v>12</x:v>
      </x:c>
      <x:c r="G36" s="12" t="str">
        <x:v>SOC 2 is an examination/reporting engagement, not a product certification; criteria text may be licensed.</x:v>
      </x:c>
      <x:c r="H36" s="20" t="str">
        <x:v>https://www.aicpa-cima.com/resources/landing/system-and-organization-controls-soc-suite-of-services</x:v>
      </x:c>
      <x:c r="I36" s="12" t="str">
        <x:v>2026-10-15</x:v>
      </x:c>
    </x:row>
    <x:row r="37">
      <x:c r="A37" s="12" t="str">
        <x:v>WCAG22</x:v>
      </x:c>
      <x:c r="B37" s="12" t="str">
        <x:v>W3C Web Content Accessibility Guidelines</x:v>
      </x:c>
      <x:c r="C37" s="12" t="str">
        <x:v>2.2 W3C Recommendation</x:v>
      </x:c>
      <x:c r="D37" s="12" t="str">
        <x:v>adjacent</x:v>
      </x:c>
      <x:c r="E37" s="12" t="str">
        <x:v>User-facing web interface accessibility</x:v>
      </x:c>
      <x:c r="F37" s="12" t="n">
        <x:v>16</x:v>
      </x:c>
      <x:c r="G37" s="12" t="str">
        <x:v>Accessibility, not a cybersecurity standard; automated checks cover only part of success criteria.</x:v>
      </x:c>
      <x:c r="H37" s="20" t="str">
        <x:v>https://www.w3.org/TR/WCAG22/</x:v>
      </x:c>
      <x:c r="I37" s="12" t="str">
        <x:v>2026-10-15</x:v>
      </x:c>
    </x:row>
    <x:row r="38">
      <x:c r="A38" s="12" t="str">
        <x:v>EN301549</x:v>
      </x:c>
      <x:c r="B38" s="12" t="str">
        <x:v>ETSI EN 301 549 accessibility requirements for ICT</x:v>
      </x:c>
      <x:c r="C38" s="12" t="str">
        <x:v>Use current applicable edition</x:v>
      </x:c>
      <x:c r="D38" s="12" t="str">
        <x:v>conditional</x:v>
      </x:c>
      <x:c r="E38" s="12" t="str">
        <x:v>Public-sector/regulated ICT accessibility requirements, particularly Europe</x:v>
      </x:c>
      <x:c r="F38" s="12" t="n">
        <x:v>16</x:v>
      </x:c>
      <x:c r="G38" s="12" t="str">
        <x:v>Check applicable edition and local procurement/legal obligations.</x:v>
      </x:c>
      <x:c r="H38" s="20" t="str">
        <x:v>https://www.etsi.org/standards</x:v>
      </x:c>
      <x:c r="I38" s="12" t="str">
        <x:v>2026-10-15</x:v>
      </x:c>
    </x:row>
    <x:row r="39">
      <x:c r="A39" s="12" t="str">
        <x:v>OPENAPI</x:v>
      </x:c>
      <x:c r="B39" s="12" t="str">
        <x:v>OpenAPI Specification</x:v>
      </x:c>
      <x:c r="C39" s="12" t="str">
        <x:v>3.2.1 current published line</x:v>
      </x:c>
      <x:c r="D39" s="12" t="str">
        <x:v>direct</x:v>
      </x:c>
      <x:c r="E39" s="12" t="str">
        <x:v>REST API contract discovery and linting</x:v>
      </x:c>
      <x:c r="F39" s="12" t="n">
        <x:v>20</x:v>
      </x:c>
      <x:c r="G39" s="12" t="str">
        <x:v>Contract validity is separate from runtime authorization/security.</x:v>
      </x:c>
      <x:c r="H39" s="20" t="str">
        <x:v>https://spec.openapis.org/oas/</x:v>
      </x:c>
      <x:c r="I39" s="12" t="str">
        <x:v>2026-10-15</x:v>
      </x:c>
    </x:row>
    <x:row r="40">
      <x:c r="A40" s="12" t="str">
        <x:v>JSON_SCHEMA</x:v>
      </x:c>
      <x:c r="B40" s="12" t="str">
        <x:v>JSON Schema</x:v>
      </x:c>
      <x:c r="C40" s="12" t="str">
        <x:v>2020-12 family; verify dialect declared by API</x:v>
      </x:c>
      <x:c r="D40" s="12" t="str">
        <x:v>supporting</x:v>
      </x:c>
      <x:c r="E40" s="12" t="str">
        <x:v>JSON payload/schema validation</x:v>
      </x:c>
      <x:c r="F40" s="12" t="n">
        <x:v>20</x:v>
      </x:c>
      <x:c r="G40" s="12" t="str">
        <x:v>Schema validation does not prove authorization or business logic correctness.</x:v>
      </x:c>
      <x:c r="H40" s="20" t="str">
        <x:v>https://json-schema.org/specification</x:v>
      </x:c>
      <x:c r="I40" s="12" t="str">
        <x:v>2026-10-15</x:v>
      </x:c>
    </x:row>
    <x:row r="41">
      <x:c r="A41" s="12" t="str">
        <x:v>HTTP_RFC9110</x:v>
      </x:c>
      <x:c r="B41" s="12" t="str">
        <x:v>IETF RFC 9110 HTTP Semantics</x:v>
      </x:c>
      <x:c r="C41" s="12" t="str">
        <x:v>2022, current with subsequent RFC updates</x:v>
      </x:c>
      <x:c r="D41" s="12" t="str">
        <x:v>direct</x:v>
      </x:c>
      <x:c r="E41" s="12" t="str">
        <x:v>HTTP methods, status codes, fields and semantics</x:v>
      </x:c>
      <x:c r="F41" s="12" t="n">
        <x:v>44</x:v>
      </x:c>
      <x:c r="G41" s="12" t="str">
        <x:v>Protocol semantics; related companion RFCs may apply.</x:v>
      </x:c>
      <x:c r="H41" s="20" t="str">
        <x:v>https://www.rfc-editor.org/rfc/rfc9110.html</x:v>
      </x:c>
      <x:c r="I41" s="12" t="str">
        <x:v>2026-10-15</x:v>
      </x:c>
    </x:row>
    <x:row r="42">
      <x:c r="A42" s="12" t="str">
        <x:v>TLS_RFC8446</x:v>
      </x:c>
      <x:c r="B42" s="12" t="str">
        <x:v>IETF RFC 8446 TLS 1.3</x:v>
      </x:c>
      <x:c r="C42" s="12" t="str">
        <x:v>2018, current specification with updates</x:v>
      </x:c>
      <x:c r="D42" s="12" t="str">
        <x:v>direct</x:v>
      </x:c>
      <x:c r="E42" s="12" t="str">
        <x:v>TLS handshake and protocol configuration</x:v>
      </x:c>
      <x:c r="F42" s="12" t="n">
        <x:v>18</x:v>
      </x:c>
      <x:c r="G42" s="12" t="str">
        <x:v>Pair with current TLS best-current-practice guidance and operational constraints.</x:v>
      </x:c>
      <x:c r="H42" s="20" t="str">
        <x:v>https://www.rfc-editor.org/rfc/rfc8446.html</x:v>
      </x:c>
      <x:c r="I42" s="12" t="str">
        <x:v>2026-10-15</x:v>
      </x:c>
    </x:row>
    <x:row r="43">
      <x:c r="A43" s="12" t="str">
        <x:v>TLS_BCP</x:v>
      </x:c>
      <x:c r="B43" s="12" t="str">
        <x:v>IETF RFC 9325 and updates including RFC 9852</x:v>
      </x:c>
      <x:c r="C43" s="12" t="str">
        <x:v>RFC 9852 (July 2026) updates BCP 195</x:v>
      </x:c>
      <x:c r="D43" s="12" t="str">
        <x:v>direct</x:v>
      </x:c>
      <x:c r="E43" s="12" t="str">
        <x:v>TLS usage policy</x:v>
      </x:c>
      <x:c r="F43" s="12" t="n">
        <x:v>18</x:v>
      </x:c>
      <x:c r="G43" s="12" t="str">
        <x:v>New protocols using TLS must require TLS 1.3; deployed compatibility profiles still need context-specific assessment.</x:v>
      </x:c>
      <x:c r="H43" s="20" t="str">
        <x:v>https://www.rfc-editor.org/rfc/rfc9852.html</x:v>
      </x:c>
      <x:c r="I43" s="12" t="str">
        <x:v>2026-10-15</x:v>
      </x:c>
    </x:row>
    <x:row r="44">
      <x:c r="A44" s="12" t="str">
        <x:v>HSTS_RFC6797</x:v>
      </x:c>
      <x:c r="B44" s="12" t="str">
        <x:v>IETF RFC 6797 HTTP Strict Transport Security</x:v>
      </x:c>
      <x:c r="C44" s="12" t="str">
        <x:v>2012; use with current browser behavior</x:v>
      </x:c>
      <x:c r="D44" s="12" t="str">
        <x:v>direct</x:v>
      </x:c>
      <x:c r="E44" s="12" t="str">
        <x:v>HTTPS-only browser policy</x:v>
      </x:c>
      <x:c r="F44" s="12" t="n">
        <x:v>18</x:v>
      </x:c>
      <x:c r="G44" s="12" t="str">
        <x:v>Validate HSTS header semantics and deployment preconditions.</x:v>
      </x:c>
      <x:c r="H44" s="20" t="str">
        <x:v>https://www.rfc-editor.org/rfc/rfc6797.html</x:v>
      </x:c>
      <x:c r="I44" s="12" t="str">
        <x:v>2026-10-15</x:v>
      </x:c>
    </x:row>
    <x:row r="45">
      <x:c r="A45" s="12" t="str">
        <x:v>OAUTH_RFC9700</x:v>
      </x:c>
      <x:c r="B45" s="12" t="str">
        <x:v>IETF RFC 9700 OAuth 2.0 Security BCP</x:v>
      </x:c>
      <x:c r="C45" s="12" t="str">
        <x:v>2025</x:v>
      </x:c>
      <x:c r="D45" s="12" t="str">
        <x:v>conditional</x:v>
      </x:c>
      <x:c r="E45" s="12" t="str">
        <x:v>OAuth 2.0 authorization servers and clients</x:v>
      </x:c>
      <x:c r="F45" s="12" t="n">
        <x:v>26</x:v>
      </x:c>
      <x:c r="G45" s="12" t="str">
        <x:v>OAuth-specific configuration and flow testing requires endpoints, clients and role-aware test accounts.</x:v>
      </x:c>
      <x:c r="H45" s="20" t="str">
        <x:v>https://www.rfc-editor.org/rfc/rfc9700.html</x:v>
      </x:c>
      <x:c r="I45" s="12" t="str">
        <x:v>2026-10-15</x:v>
      </x:c>
    </x:row>
    <x:row r="46">
      <x:c r="A46" s="12" t="str">
        <x:v>JWT_RFC8725</x:v>
      </x:c>
      <x:c r="B46" s="12" t="str">
        <x:v>IETF RFC 8725 JWT Best Current Practices</x:v>
      </x:c>
      <x:c r="C46" s="12" t="str">
        <x:v>2020</x:v>
      </x:c>
      <x:c r="D46" s="12" t="str">
        <x:v>conditional</x:v>
      </x:c>
      <x:c r="E46" s="12" t="str">
        <x:v>Systems that issue or consume JWTs</x:v>
      </x:c>
      <x:c r="F46" s="12" t="n">
        <x:v>6</x:v>
      </x:c>
      <x:c r="G46" s="12" t="str">
        <x:v>JWT parsing/validation behavior requires application or authorization-server context.</x:v>
      </x:c>
      <x:c r="H46" s="20" t="str">
        <x:v>https://www.rfc-editor.org/rfc/rfc8725.html</x:v>
      </x:c>
      <x:c r="I46" s="12" t="str">
        <x:v>2026-10-15</x:v>
      </x:c>
    </x:row>
    <x:row r="47">
      <x:c r="A47" s="12" t="str">
        <x:v>OIDC</x:v>
      </x:c>
      <x:c r="B47" s="12" t="str">
        <x:v>OpenID Connect Core</x:v>
      </x:c>
      <x:c r="C47" s="12" t="str">
        <x:v>1.0 with errata; verify current spec set</x:v>
      </x:c>
      <x:c r="D47" s="12" t="str">
        <x:v>conditional</x:v>
      </x:c>
      <x:c r="E47" s="12" t="str">
        <x:v>Federated authentication using OpenID Connect</x:v>
      </x:c>
      <x:c r="F47" s="12" t="n">
        <x:v>26</x:v>
      </x:c>
      <x:c r="G47" s="12" t="str">
        <x:v>Redirect URI, nonce, state, issuer, audience and token validation need flow-level tests.</x:v>
      </x:c>
      <x:c r="H47" s="20" t="str">
        <x:v>https://openid.net/specs/openid-connect-core-1_0.html</x:v>
      </x:c>
      <x:c r="I47" s="12" t="str">
        <x:v>2026-10-15</x:v>
      </x:c>
    </x:row>
    <x:row r="48">
      <x:c r="A48" s="12" t="str">
        <x:v>PKCE_RFC7636</x:v>
      </x:c>
      <x:c r="B48" s="12" t="str">
        <x:v>IETF RFC 7636 PKCE</x:v>
      </x:c>
      <x:c r="C48" s="12" t="str">
        <x:v>2015</x:v>
      </x:c>
      <x:c r="D48" s="12" t="str">
        <x:v>conditional</x:v>
      </x:c>
      <x:c r="E48" s="12" t="str">
        <x:v>OAuth authorization-code clients where applicable</x:v>
      </x:c>
      <x:c r="F48" s="12" t="n">
        <x:v>26</x:v>
      </x:c>
      <x:c r="G48" s="12" t="str">
        <x:v>Use current OAuth security BCP alongside PKCE.</x:v>
      </x:c>
      <x:c r="H48" s="20" t="str">
        <x:v>https://www.rfc-editor.org/rfc/rfc7636.html</x:v>
      </x:c>
      <x:c r="I48" s="12" t="str">
        <x:v>2026-10-15</x:v>
      </x:c>
    </x:row>
    <x:row r="49">
      <x:c r="A49" s="12" t="str">
        <x:v>COOKIE_RFC6265</x:v>
      </x:c>
      <x:c r="B49" s="12" t="str">
        <x:v>IETF RFC 6265 HTTP State Management Mechanism</x:v>
      </x:c>
      <x:c r="C49" s="12" t="str">
        <x:v>2011; track successor work</x:v>
      </x:c>
      <x:c r="D49" s="12" t="str">
        <x:v>direct</x:v>
      </x:c>
      <x:c r="E49" s="12" t="str">
        <x:v>Cookies and session state</x:v>
      </x:c>
      <x:c r="F49" s="12" t="n">
        <x:v>15</x:v>
      </x:c>
      <x:c r="G49" s="12" t="str">
        <x:v>Browser cookie controls evolve; use current browser/platform behavior too.</x:v>
      </x:c>
      <x:c r="H49" s="20" t="str">
        <x:v>https://www.rfc-editor.org/rfc/rfc6265.html</x:v>
      </x:c>
      <x:c r="I49" s="12" t="str">
        <x:v>2026-10-15</x:v>
      </x:c>
    </x:row>
    <x:row r="50">
      <x:c r="A50" s="12" t="str">
        <x:v>CSP_W3C</x:v>
      </x:c>
      <x:c r="B50" s="12" t="str">
        <x:v>W3C Content Security Policy Level 3</x:v>
      </x:c>
      <x:c r="C50" s="12" t="str">
        <x:v>Living/current published spec; check status at use time</x:v>
      </x:c>
      <x:c r="D50" s="12" t="str">
        <x:v>direct</x:v>
      </x:c>
      <x:c r="E50" s="12" t="str">
        <x:v>Browser resource execution and policy</x:v>
      </x:c>
      <x:c r="F50" s="12" t="n">
        <x:v>18</x:v>
      </x:c>
      <x:c r="G50" s="12" t="str">
        <x:v>Policy presence alone does not establish resistance to all script injection.</x:v>
      </x:c>
      <x:c r="H50" s="20" t="str">
        <x:v>https://www.w3.org/TR/CSP/</x:v>
      </x:c>
      <x:c r="I50" s="12" t="str">
        <x:v>2026-10-15</x:v>
      </x:c>
    </x:row>
    <x:row r="51">
      <x:c r="A51" s="12" t="str">
        <x:v>SRI_W3C</x:v>
      </x:c>
      <x:c r="B51" s="12" t="str">
        <x:v>W3C Subresource Integrity</x:v>
      </x:c>
      <x:c r="C51" s="12" t="str">
        <x:v>W3C specification</x:v>
      </x:c>
      <x:c r="D51" s="12" t="str">
        <x:v>direct</x:v>
      </x:c>
      <x:c r="E51" s="12" t="str">
        <x:v>Integrity of eligible third-party static assets</x:v>
      </x:c>
      <x:c r="F51" s="12" t="n">
        <x:v>18</x:v>
      </x:c>
      <x:c r="G51" s="12" t="str">
        <x:v>Does not protect all dynamic resources or script supply-chain paths.</x:v>
      </x:c>
      <x:c r="H51" s="20" t="str">
        <x:v>https://www.w3.org/TR/SRI/</x:v>
      </x:c>
      <x:c r="I51" s="12" t="str">
        <x:v>2026-10-15</x:v>
      </x:c>
    </x:row>
    <x:row r="52">
      <x:c r="A52" s="12" t="str">
        <x:v>SARIF</x:v>
      </x:c>
      <x:c r="B52" s="12" t="str">
        <x:v>OASIS SARIF</x:v>
      </x:c>
      <x:c r="C52" s="12" t="str">
        <x:v>2.1.0 + Approved Errata 01</x:v>
      </x:c>
      <x:c r="D52" s="12" t="str">
        <x:v>direct</x:v>
      </x:c>
      <x:c r="E52" s="12" t="str">
        <x:v>Machine-readable scanner findings</x:v>
      </x:c>
      <x:c r="F52" s="12" t="n">
        <x:v>32</x:v>
      </x:c>
      <x:c r="G52" s="12" t="str">
        <x:v>Validate schema, rule metadata, locations and redaction before export.</x:v>
      </x:c>
      <x:c r="H52" s="20" t="str">
        <x:v>https://docs.oasis-open.org/sarif/sarif/v2.1.0/errata01/os/sarif-v2.1.0-errata01-os-complete.html</x:v>
      </x:c>
      <x:c r="I52" s="12" t="str">
        <x:v>2026-10-15</x:v>
      </x:c>
    </x:row>
    <x:row r="53">
      <x:c r="A53" s="12" t="str">
        <x:v>CYCLONEDX</x:v>
      </x:c>
      <x:c r="B53" s="12" t="str">
        <x:v>CycloneDX SBOM / supply-chain specification</x:v>
      </x:c>
      <x:c r="C53" s="12" t="str">
        <x:v>1.7 (ECMA-424)</x:v>
      </x:c>
      <x:c r="D53" s="12" t="str">
        <x:v>supporting</x:v>
      </x:c>
      <x:c r="E53" s="12" t="str">
        <x:v>Software bill of materials and components/services</x:v>
      </x:c>
      <x:c r="F53" s="12" t="n">
        <x:v>18</x:v>
      </x:c>
      <x:c r="G53" s="12" t="str">
        <x:v>Generate real BOM from resolved build artifacts/tools; declared requirements-only inventory is not a complete SBOM.</x:v>
      </x:c>
      <x:c r="H53" s="20" t="str">
        <x:v>https://cyclonedx.org/specification/overview/</x:v>
      </x:c>
      <x:c r="I53" s="12" t="str">
        <x:v>2026-10-15</x:v>
      </x:c>
    </x:row>
    <x:row r="54">
      <x:c r="A54" s="12" t="str">
        <x:v>SPDX</x:v>
      </x:c>
      <x:c r="B54" s="12" t="str">
        <x:v>SPDX Software Package Data Exchange</x:v>
      </x:c>
      <x:c r="C54" s="12" t="str">
        <x:v>3.x specification family; pin schema in production</x:v>
      </x:c>
      <x:c r="D54" s="12" t="str">
        <x:v>supporting</x:v>
      </x:c>
      <x:c r="E54" s="12" t="str">
        <x:v>SBOM and software licensing metadata</x:v>
      </x:c>
      <x:c r="F54" s="12" t="n">
        <x:v>18</x:v>
      </x:c>
      <x:c r="G54" s="12" t="str">
        <x:v>Select a specific schema version and validate SPDX output against its official schema.</x:v>
      </x:c>
      <x:c r="H54" s="20" t="str">
        <x:v>https://spdx.dev/specifications/</x:v>
      </x:c>
      <x:c r="I54" s="12" t="str">
        <x:v>2026-10-15</x:v>
      </x:c>
    </x:row>
    <x:row r="55">
      <x:c r="A55" s="12" t="str">
        <x:v>SLSA</x:v>
      </x:c>
      <x:c r="B55" s="12" t="str">
        <x:v>Supply-chain Levels for Software Artifacts</x:v>
      </x:c>
      <x:c r="C55" s="12" t="str">
        <x:v>1.2 (approved)</x:v>
      </x:c>
      <x:c r="D55" s="12" t="str">
        <x:v>supporting</x:v>
      </x:c>
      <x:c r="E55" s="12" t="str">
        <x:v>Build integrity, provenance and supply-chain assurance</x:v>
      </x:c>
      <x:c r="F55" s="12" t="n">
        <x:v>70</x:v>
      </x:c>
      <x:c r="G55" s="12" t="str">
        <x:v>Claims require builder/source provenance evidence; not established by a local test count.</x:v>
      </x:c>
      <x:c r="H55" s="20" t="str">
        <x:v>https://slsa.dev/spec/v1.2/</x:v>
      </x:c>
      <x:c r="I55" s="12" t="str">
        <x:v>2026-10-15</x:v>
      </x:c>
    </x:row>
    <x:row r="56">
      <x:c r="A56" s="12" t="str">
        <x:v>OPENSSF_SCORECARD</x:v>
      </x:c>
      <x:c r="B56" s="12" t="str">
        <x:v>OpenSSF Scorecard</x:v>
      </x:c>
      <x:c r="C56" s="12" t="str">
        <x:v>Rolling checks</x:v>
      </x:c>
      <x:c r="D56" s="12" t="str">
        <x:v>supporting</x:v>
      </x:c>
      <x:c r="E56" s="12" t="str">
        <x:v>Open-source repository and workflow hygiene</x:v>
      </x:c>
      <x:c r="F56" s="12" t="n">
        <x:v>52</x:v>
      </x:c>
      <x:c r="G56" s="12" t="str">
        <x:v>Objective repository checks; not a full secure software audit.</x:v>
      </x:c>
      <x:c r="H56" s="20" t="str">
        <x:v>https://openssf.org/scorecard/</x:v>
      </x:c>
      <x:c r="I56" s="12" t="str">
        <x:v>2026-10-15</x:v>
      </x:c>
    </x:row>
    <x:row r="57">
      <x:c r="A57" s="12" t="str">
        <x:v>CWE_TOP25</x:v>
      </x:c>
      <x:c r="B57" s="12" t="str">
        <x:v>MITRE CWE Top 25</x:v>
      </x:c>
      <x:c r="C57" s="12" t="str">
        <x:v>2025</x:v>
      </x:c>
      <x:c r="D57" s="12" t="str">
        <x:v>supporting</x:v>
      </x:c>
      <x:c r="E57" s="12" t="str">
        <x:v>Weakness taxonomy for design/code review</x:v>
      </x:c>
      <x:c r="F57" s="12" t="n">
        <x:v>112</x:v>
      </x:c>
      <x:c r="G57" s="12" t="str">
        <x:v>Use as prioritization taxonomy; not all weaknesses can be discovered from black-box web scanning.</x:v>
      </x:c>
      <x:c r="H57" s="20" t="str">
        <x:v>https://cwe.mitre.org/top25/archive/2025/2025_cwe_top25</x:v>
      </x:c>
      <x:c r="I57" s="12" t="str">
        <x:v>2026-10-15</x:v>
      </x:c>
    </x:row>
    <x:row r="58">
      <x:c r="A58" s="12" t="str">
        <x:v>CAPEC</x:v>
      </x:c>
      <x:c r="B58" s="12" t="str">
        <x:v>MITRE CAPEC</x:v>
      </x:c>
      <x:c r="C58" s="12" t="str">
        <x:v>Current catalog</x:v>
      </x:c>
      <x:c r="D58" s="12" t="str">
        <x:v>supporting</x:v>
      </x:c>
      <x:c r="E58" s="12" t="str">
        <x:v>Attack-pattern taxonomy and threat modeling</x:v>
      </x:c>
      <x:c r="F58" s="12" t="n">
        <x:v>36</x:v>
      </x:c>
      <x:c r="G58" s="12" t="str">
        <x:v>Use to structure threat models and test ideas, not as evidence of exploitability.</x:v>
      </x:c>
      <x:c r="H58" s="20" t="str">
        <x:v>https://capec.mitre.org/</x:v>
      </x:c>
      <x:c r="I58" s="12" t="str">
        <x:v>2026-10-15</x:v>
      </x:c>
    </x:row>
    <x:row r="59">
      <x:c r="A59" s="12" t="str">
        <x:v>ATTACK</x:v>
      </x:c>
      <x:c r="B59" s="12" t="str">
        <x:v>MITRE ATT&amp;CK</x:v>
      </x:c>
      <x:c r="C59" s="12" t="str">
        <x:v>Current enterprise/mobile/cloud knowledge bases</x:v>
      </x:c>
      <x:c r="D59" s="12" t="str">
        <x:v>supporting</x:v>
      </x:c>
      <x:c r="E59" s="12" t="str">
        <x:v>Threat-informed detection/use-case coverage</x:v>
      </x:c>
      <x:c r="F59" s="12" t="n">
        <x:v>16</x:v>
      </x:c>
      <x:c r="G59" s="12" t="str">
        <x:v>ATT&amp;CK is an adversary behavior knowledge base, not a web-app compliance standard.</x:v>
      </x:c>
      <x:c r="H59" s="20" t="str">
        <x:v>https://attack.mitre.org/</x:v>
      </x:c>
      <x:c r="I59" s="12" t="str">
        <x:v>2026-10-15</x:v>
      </x:c>
    </x:row>
    <x:row r="60">
      <x:c r="A60" s="12" t="str">
        <x:v>CVSS</x:v>
      </x:c>
      <x:c r="B60" s="12" t="str">
        <x:v>FIRST Common Vulnerability Scoring System</x:v>
      </x:c>
      <x:c r="C60" s="12" t="str">
        <x:v>4.0</x:v>
      </x:c>
      <x:c r="D60" s="12" t="str">
        <x:v>supporting</x:v>
      </x:c>
      <x:c r="E60" s="12" t="str">
        <x:v>Technical severity communication</x:v>
      </x:c>
      <x:c r="F60" s="12" t="n">
        <x:v>47</x:v>
      </x:c>
      <x:c r="G60" s="12" t="str">
        <x:v>When publishing CVSS, provide the score and vector; do not relabel heuristic risk scores as CVSS.</x:v>
      </x:c>
      <x:c r="H60" s="20" t="str">
        <x:v>https://www.first.org/cvss/v4.0/</x:v>
      </x:c>
      <x:c r="I60" s="12" t="str">
        <x:v>2026-10-15</x:v>
      </x:c>
    </x:row>
    <x:row r="61">
      <x:c r="A61" s="12" t="str">
        <x:v>EPSS</x:v>
      </x:c>
      <x:c r="B61" s="12" t="str">
        <x:v>FIRST Exploit Prediction Scoring System</x:v>
      </x:c>
      <x:c r="C61" s="12" t="str">
        <x:v>Rolling daily model</x:v>
      </x:c>
      <x:c r="D61" s="12" t="str">
        <x:v>supporting</x:v>
      </x:c>
      <x:c r="E61" s="12" t="str">
        <x:v>Prioritization of known CVEs with exploit-likelihood estimate</x:v>
      </x:c>
      <x:c r="F61" s="12" t="n">
        <x:v>15</x:v>
      </x:c>
      <x:c r="G61" s="12" t="str">
        <x:v>Requires CVE matching and current EPSS data; not a vulnerability severity score.</x:v>
      </x:c>
      <x:c r="H61" s="20" t="str">
        <x:v>https://www.first.org/epss/</x:v>
      </x:c>
      <x:c r="I61" s="12" t="str">
        <x:v>2026-10-15</x:v>
      </x:c>
    </x:row>
    <x:row r="62">
      <x:c r="A62" s="12" t="str">
        <x:v>CISA_KEV</x:v>
      </x:c>
      <x:c r="B62" s="12" t="str">
        <x:v>CISA Known Exploited Vulnerabilities Catalog</x:v>
      </x:c>
      <x:c r="C62" s="12" t="str">
        <x:v>Rolling catalog</x:v>
      </x:c>
      <x:c r="D62" s="12" t="str">
        <x:v>supporting</x:v>
      </x:c>
      <x:c r="E62" s="12" t="str">
        <x:v>Prioritize known exploited software CVEs</x:v>
      </x:c>
      <x:c r="F62" s="12" t="n">
        <x:v>15</x:v>
      </x:c>
      <x:c r="G62" s="12" t="str">
        <x:v>Requires inventory/CVE matching; do not assert a web finding is KEV-listed without a CVE match.</x:v>
      </x:c>
      <x:c r="H62" s="20" t="str">
        <x:v>https://www.cisa.gov/known-exploited-vulnerabilities-catalog</x:v>
      </x:c>
      <x:c r="I62" s="12" t="str">
        <x:v>2026-10-15</x:v>
      </x:c>
    </x:row>
    <x:row r="63">
      <x:c r="A63" s="12" t="str">
        <x:v>CIS_CONTROLS</x:v>
      </x:c>
      <x:c r="B63" s="12" t="str">
        <x:v>CIS Critical Security Controls</x:v>
      </x:c>
      <x:c r="C63" s="12" t="str">
        <x:v>v8.1</x:v>
      </x:c>
      <x:c r="D63" s="12" t="str">
        <x:v>supporting</x:v>
      </x:c>
      <x:c r="E63" s="12" t="str">
        <x:v>Organizational baseline/security program</x:v>
      </x:c>
      <x:c r="F63" s="12" t="n">
        <x:v>85</x:v>
      </x:c>
      <x:c r="G63" s="12" t="str">
        <x:v>Broad safeguard mapping; applicability depends on IG, asset class and organizational context.</x:v>
      </x:c>
      <x:c r="H63" s="20" t="str">
        <x:v>https://www.cisecurity.org/controls/v8-1</x:v>
      </x:c>
      <x:c r="I63" s="12" t="str">
        <x:v>2026-10-15</x:v>
      </x:c>
    </x:row>
    <x:row r="64">
      <x:c r="A64" s="12" t="str">
        <x:v>CIS_BENCHMARKS</x:v>
      </x:c>
      <x:c r="B64" s="12" t="str">
        <x:v>CIS Benchmarks</x:v>
      </x:c>
      <x:c r="C64" s="12" t="str">
        <x:v>Product-specific rolling editions</x:v>
      </x:c>
      <x:c r="D64" s="12" t="str">
        <x:v>conditional</x:v>
      </x:c>
      <x:c r="E64" s="12" t="str">
        <x:v>OS, cloud, containers, Kubernetes, database and platform hardening</x:v>
      </x:c>
      <x:c r="F64" s="12" t="n">
        <x:v>18</x:v>
      </x:c>
      <x:c r="G64" s="12" t="str">
        <x:v>Use only the benchmark for the exact product/version; requires authorized configuration access.</x:v>
      </x:c>
      <x:c r="H64" s="20" t="str">
        <x:v>https://www.cisecurity.org/cis-benchmarks</x:v>
      </x:c>
      <x:c r="I64" s="12" t="str">
        <x:v>2026-10-15</x:v>
      </x:c>
    </x:row>
    <x:row r="65">
      <x:c r="A65" s="12" t="str">
        <x:v>CISA_SECURE_BY_DESIGN</x:v>
      </x:c>
      <x:c r="B65" s="12" t="str">
        <x:v>CISA Secure by Design Pledge</x:v>
      </x:c>
      <x:c r="C65" s="12" t="str">
        <x:v>Voluntary pledge</x:v>
      </x:c>
      <x:c r="D65" s="12" t="str">
        <x:v>supporting</x:v>
      </x:c>
      <x:c r="E65" s="12" t="str">
        <x:v>Software manufacturers and product security practices</x:v>
      </x:c>
      <x:c r="F65" s="12" t="n">
        <x:v>39</x:v>
      </x:c>
      <x:c r="G65" s="12" t="str">
        <x:v>Voluntary, not a legal certification; assess published measurable goals when applicable.</x:v>
      </x:c>
      <x:c r="H65" s="20" t="str">
        <x:v>https://www.cisa.gov/securebydesign</x:v>
      </x:c>
      <x:c r="I65" s="12" t="str">
        <x:v>2026-10-15</x:v>
      </x:c>
    </x:row>
    <x:row r="66">
      <x:c r="A66" s="12" t="str">
        <x:v>FIPS1403</x:v>
      </x:c>
      <x:c r="B66" s="12" t="str">
        <x:v>FIPS 140-3 Cryptographic Module Validation</x:v>
      </x:c>
      <x:c r="C66" s="12" t="str">
        <x:v>2019 standard, CMVP program</x:v>
      </x:c>
      <x:c r="D66" s="12" t="str">
        <x:v>conditional</x:v>
      </x:c>
      <x:c r="E66" s="12" t="str">
        <x:v>When validated cryptographic module requirement applies</x:v>
      </x:c>
      <x:c r="F66" s="12" t="n">
        <x:v>18</x:v>
      </x:c>
      <x:c r="G66" s="12" t="str">
        <x:v>Application-level use of a crypto library does not establish that a deployed module is validated.</x:v>
      </x:c>
      <x:c r="H66" s="20" t="str">
        <x:v>https://csrc.nist.gov/pubs/fips/140-3/final</x:v>
      </x:c>
      <x:c r="I66" s="12" t="str">
        <x:v>2026-10-15</x:v>
      </x:c>
    </x:row>
    <x:row r="67">
      <x:c r="A67" s="12" t="str">
        <x:v>ISO42001</x:v>
      </x:c>
      <x:c r="B67" s="12" t="str">
        <x:v>ISO/IEC 42001 AI Management System</x:v>
      </x:c>
      <x:c r="C67" s="12" t="str">
        <x:v>2023</x:v>
      </x:c>
      <x:c r="D67" s="12" t="str">
        <x:v>conditional</x:v>
      </x:c>
      <x:c r="E67" s="12" t="str">
        <x:v>Organizations operating AI systems and seeking an AI management system</x:v>
      </x:c>
      <x:c r="F67" s="12" t="n">
        <x:v>14</x:v>
      </x:c>
      <x:c r="G67" s="12" t="str">
        <x:v>Organization-level AI management system; conditional on AI use and desired assurance.</x:v>
      </x:c>
      <x:c r="H67" s="20" t="str">
        <x:v>https://www.iso.org/standard/81230.html</x:v>
      </x:c>
      <x:c r="I67" s="12" t="str">
        <x:v>2026-10-15</x:v>
      </x:c>
    </x:row>
    <x:row r="68">
      <x:c r="A68" s="12" t="str">
        <x:v>SLSA_PROVENANCE</x:v>
      </x:c>
      <x:c r="B68" s="12" t="str">
        <x:v>in-toto / provenance attestations</x:v>
      </x:c>
      <x:c r="C68" s="12" t="str">
        <x:v>Current specification ecosystem</x:v>
      </x:c>
      <x:c r="D68" s="12" t="str">
        <x:v>supporting</x:v>
      </x:c>
      <x:c r="E68" s="12" t="str">
        <x:v>Software build attestations and artifact supply-chain</x:v>
      </x:c>
      <x:c r="F68" s="12" t="n">
        <x:v>52</x:v>
      </x:c>
      <x:c r="G68" s="12" t="str">
        <x:v>Require cryptographically verifiable provenance tied to immutable artifacts/builders.</x:v>
      </x:c>
      <x:c r="H68" s="20" t="str">
        <x:v>https://in-toto.io/</x:v>
      </x:c>
      <x:c r="I68" s="12" t="str">
        <x:v>2026-10-15</x:v>
      </x:c>
    </x:row>
  </x:sheetData>
  <x:pageMargins left="0.7" right="0.7" top="0.75" bottom="0.75" header="0.3" footer="0.3"/>
  <x:tableParts count="1">
    <x:tablePart xmlns:r="http://schemas.openxmlformats.org/officeDocument/2006/relationships" r:id="Rb61d69fa3b2f408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42" hidden="0" customWidth="1"/>
    <x:col min="3" max="3" width="1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5" hidden="0" customWidth="1"/>
    <x:col min="9" max="9" width="18" hidden="0" customWidth="1"/>
    <x:col min="10" max="10" width="15" hidden="0" customWidth="1"/>
  </x:cols>
  <x:sheetData>
    <x:row r="1" ht="30" customHeight="1">
      <x:c r="A1" s="25" t="str">
        <x:v>Domain ID</x:v>
      </x:c>
      <x:c r="B1" s="25" t="str">
        <x:v>Domain</x:v>
      </x:c>
      <x:c r="C1" s="25" t="str">
        <x:v>Controls</x:v>
      </x:c>
      <x:c r="D1" s="25" t="str">
        <x:v>P0</x:v>
      </x:c>
      <x:c r="E1" s="25" t="str">
        <x:v>P1</x:v>
      </x:c>
      <x:c r="F1" s="25" t="str">
        <x:v>P2</x:v>
      </x:c>
      <x:c r="G1" s="25" t="str">
        <x:v>P3</x:v>
      </x:c>
      <x:c r="H1" s="25" t="str">
        <x:v>Core</x:v>
      </x:c>
      <x:c r="I1" s="25" t="str">
        <x:v>Conditional</x:v>
      </x:c>
      <x:c r="J1" s="25" t="str">
        <x:v>Adjacent</x:v>
      </x:c>
    </x:row>
    <x:row r="2">
      <x:c r="A2" s="12" t="str">
        <x:v>ACCESS</x:v>
      </x:c>
      <x:c r="B2" s="12" t="str">
        <x:v>Accessibility and inclusive product interface</x:v>
      </x:c>
      <x:c r="C2" s="12" t="n">
        <x:v>12</x:v>
      </x:c>
      <x:c r="D2" s="12" t="n">
        <x:v>0</x:v>
      </x:c>
      <x:c r="E2" s="12" t="n">
        <x:v>0</x:v>
      </x:c>
      <x:c r="F2" s="12" t="n">
        <x:v>12</x:v>
      </x:c>
      <x:c r="G2" s="12" t="n">
        <x:v>0</x:v>
      </x:c>
      <x:c r="H2" s="12" t="n">
        <x:v>0</x:v>
      </x:c>
      <x:c r="I2" s="12" t="n">
        <x:v>0</x:v>
      </x:c>
      <x:c r="J2" s="12" t="n">
        <x:v>12</x:v>
      </x:c>
    </x:row>
    <x:row r="3">
      <x:c r="A3" s="12" t="str">
        <x:v>ACCESSIBILITY_REG</x:v>
      </x:c>
      <x:c r="B3" s="12" t="str">
        <x:v>Accessibility conformance governance</x:v>
      </x:c>
      <x:c r="C3" s="12" t="n">
        <x:v>4</x:v>
      </x:c>
      <x:c r="D3" s="12" t="n">
        <x:v>0</x:v>
      </x:c>
      <x:c r="E3" s="12" t="n">
        <x:v>0</x:v>
      </x:c>
      <x:c r="F3" s="12" t="n">
        <x:v>4</x:v>
      </x:c>
      <x:c r="G3" s="12" t="n">
        <x:v>0</x:v>
      </x:c>
      <x:c r="H3" s="12" t="n">
        <x:v>0</x:v>
      </x:c>
      <x:c r="I3" s="12" t="n">
        <x:v>4</x:v>
      </x:c>
      <x:c r="J3" s="12" t="n">
        <x:v>0</x:v>
      </x:c>
    </x:row>
    <x:row r="4">
      <x:c r="A4" s="12" t="str">
        <x:v>AI</x:v>
      </x:c>
      <x:c r="B4" s="12" t="str">
        <x:v>AI/LLM/agent security (conditional)</x:v>
      </x:c>
      <x:c r="C4" s="12" t="n">
        <x:v>14</x:v>
      </x:c>
      <x:c r="D4" s="12" t="n">
        <x:v>0</x:v>
      </x:c>
      <x:c r="E4" s="12" t="n">
        <x:v>14</x:v>
      </x:c>
      <x:c r="F4" s="12" t="n">
        <x:v>0</x:v>
      </x:c>
      <x:c r="G4" s="12" t="n">
        <x:v>0</x:v>
      </x:c>
      <x:c r="H4" s="12" t="n">
        <x:v>0</x:v>
      </x:c>
      <x:c r="I4" s="12" t="n">
        <x:v>14</x:v>
      </x:c>
      <x:c r="J4" s="12" t="n">
        <x:v>0</x:v>
      </x:c>
    </x:row>
    <x:row r="5">
      <x:c r="A5" s="12" t="str">
        <x:v>API</x:v>
      </x:c>
      <x:c r="B5" s="12" t="str">
        <x:v>API contracts, REST, GraphQL and RPC</x:v>
      </x:c>
      <x:c r="C5" s="12" t="n">
        <x:v>20</x:v>
      </x:c>
      <x:c r="D5" s="12" t="n">
        <x:v>20</x:v>
      </x:c>
      <x:c r="E5" s="12" t="n">
        <x:v>0</x:v>
      </x:c>
      <x:c r="F5" s="12" t="n">
        <x:v>0</x:v>
      </x:c>
      <x:c r="G5" s="12" t="n">
        <x:v>0</x:v>
      </x:c>
      <x:c r="H5" s="12" t="n">
        <x:v>20</x:v>
      </x:c>
      <x:c r="I5" s="12" t="n">
        <x:v>0</x:v>
      </x:c>
      <x:c r="J5" s="12" t="n">
        <x:v>0</x:v>
      </x:c>
    </x:row>
    <x:row r="6">
      <x:c r="A6" s="12" t="str">
        <x:v>ARCH</x:v>
      </x:c>
      <x:c r="B6" s="12" t="str">
        <x:v>Secure architecture and application design</x:v>
      </x:c>
      <x:c r="C6" s="12" t="n">
        <x:v>15</x:v>
      </x:c>
      <x:c r="D6" s="12" t="n">
        <x:v>0</x:v>
      </x:c>
      <x:c r="E6" s="12" t="n">
        <x:v>15</x:v>
      </x:c>
      <x:c r="F6" s="12" t="n">
        <x:v>0</x:v>
      </x:c>
      <x:c r="G6" s="12" t="n">
        <x:v>0</x:v>
      </x:c>
      <x:c r="H6" s="12" t="n">
        <x:v>15</x:v>
      </x:c>
      <x:c r="I6" s="12" t="n">
        <x:v>0</x:v>
      </x:c>
      <x:c r="J6" s="12" t="n">
        <x:v>0</x:v>
      </x:c>
    </x:row>
    <x:row r="7">
      <x:c r="A7" s="12" t="str">
        <x:v>ASSET</x:v>
      </x:c>
      <x:c r="B7" s="12" t="str">
        <x:v>Asset inventory and attack-surface discovery</x:v>
      </x:c>
      <x:c r="C7" s="12" t="n">
        <x:v>15</x:v>
      </x:c>
      <x:c r="D7" s="12" t="n">
        <x:v>0</x:v>
      </x:c>
      <x:c r="E7" s="12" t="n">
        <x:v>15</x:v>
      </x:c>
      <x:c r="F7" s="12" t="n">
        <x:v>0</x:v>
      </x:c>
      <x:c r="G7" s="12" t="n">
        <x:v>0</x:v>
      </x:c>
      <x:c r="H7" s="12" t="n">
        <x:v>15</x:v>
      </x:c>
      <x:c r="I7" s="12" t="n">
        <x:v>0</x:v>
      </x:c>
      <x:c r="J7" s="12" t="n">
        <x:v>0</x:v>
      </x:c>
    </x:row>
    <x:row r="8">
      <x:c r="A8" s="12" t="str">
        <x:v>AUTHN</x:v>
      </x:c>
      <x:c r="B8" s="12" t="str">
        <x:v>Authentication, identity lifecycle and federation</x:v>
      </x:c>
      <x:c r="C8" s="12" t="n">
        <x:v>20</x:v>
      </x:c>
      <x:c r="D8" s="12" t="n">
        <x:v>20</x:v>
      </x:c>
      <x:c r="E8" s="12" t="n">
        <x:v>0</x:v>
      </x:c>
      <x:c r="F8" s="12" t="n">
        <x:v>0</x:v>
      </x:c>
      <x:c r="G8" s="12" t="n">
        <x:v>0</x:v>
      </x:c>
      <x:c r="H8" s="12" t="n">
        <x:v>20</x:v>
      </x:c>
      <x:c r="I8" s="12" t="n">
        <x:v>0</x:v>
      </x:c>
      <x:c r="J8" s="12" t="n">
        <x:v>0</x:v>
      </x:c>
    </x:row>
    <x:row r="9">
      <x:c r="A9" s="12" t="str">
        <x:v>AUTHZ</x:v>
      </x:c>
      <x:c r="B9" s="12" t="str">
        <x:v>Authorization, tenancy and object-level access</x:v>
      </x:c>
      <x:c r="C9" s="12" t="n">
        <x:v>18</x:v>
      </x:c>
      <x:c r="D9" s="12" t="n">
        <x:v>18</x:v>
      </x:c>
      <x:c r="E9" s="12" t="n">
        <x:v>0</x:v>
      </x:c>
      <x:c r="F9" s="12" t="n">
        <x:v>0</x:v>
      </x:c>
      <x:c r="G9" s="12" t="n">
        <x:v>0</x:v>
      </x:c>
      <x:c r="H9" s="12" t="n">
        <x:v>18</x:v>
      </x:c>
      <x:c r="I9" s="12" t="n">
        <x:v>0</x:v>
      </x:c>
      <x:c r="J9" s="12" t="n">
        <x:v>0</x:v>
      </x:c>
    </x:row>
    <x:row r="10">
      <x:c r="A10" s="12" t="str">
        <x:v>AVAIL</x:v>
      </x:c>
      <x:c r="B10" s="12" t="str">
        <x:v>Availability, resilience, rate limiting and recovery</x:v>
      </x:c>
      <x:c r="C10" s="12" t="n">
        <x:v>15</x:v>
      </x:c>
      <x:c r="D10" s="12" t="n">
        <x:v>0</x:v>
      </x:c>
      <x:c r="E10" s="12" t="n">
        <x:v>15</x:v>
      </x:c>
      <x:c r="F10" s="12" t="n">
        <x:v>0</x:v>
      </x:c>
      <x:c r="G10" s="12" t="n">
        <x:v>0</x:v>
      </x:c>
      <x:c r="H10" s="12" t="n">
        <x:v>15</x:v>
      </x:c>
      <x:c r="I10" s="12" t="n">
        <x:v>0</x:v>
      </x:c>
      <x:c r="J10" s="12" t="n">
        <x:v>0</x:v>
      </x:c>
    </x:row>
    <x:row r="11">
      <x:c r="A11" s="12" t="str">
        <x:v>BUSINESS</x:v>
      </x:c>
      <x:c r="B11" s="12" t="str">
        <x:v>Business logic, automation abuse and resource limits</x:v>
      </x:c>
      <x:c r="C11" s="12" t="n">
        <x:v>15</x:v>
      </x:c>
      <x:c r="D11" s="12" t="n">
        <x:v>0</x:v>
      </x:c>
      <x:c r="E11" s="12" t="n">
        <x:v>15</x:v>
      </x:c>
      <x:c r="F11" s="12" t="n">
        <x:v>0</x:v>
      </x:c>
      <x:c r="G11" s="12" t="n">
        <x:v>0</x:v>
      </x:c>
      <x:c r="H11" s="12" t="n">
        <x:v>0</x:v>
      </x:c>
      <x:c r="I11" s="12" t="n">
        <x:v>15</x:v>
      </x:c>
      <x:c r="J11" s="12" t="n">
        <x:v>0</x:v>
      </x:c>
    </x:row>
    <x:row r="12">
      <x:c r="A12" s="12" t="str">
        <x:v>CLOUD</x:v>
      </x:c>
      <x:c r="B12" s="12" t="str">
        <x:v>Cloud, container, Kubernetes and infrastructure as code</x:v>
      </x:c>
      <x:c r="C12" s="12" t="n">
        <x:v>18</x:v>
      </x:c>
      <x:c r="D12" s="12" t="n">
        <x:v>0</x:v>
      </x:c>
      <x:c r="E12" s="12" t="n">
        <x:v>18</x:v>
      </x:c>
      <x:c r="F12" s="12" t="n">
        <x:v>0</x:v>
      </x:c>
      <x:c r="G12" s="12" t="n">
        <x:v>0</x:v>
      </x:c>
      <x:c r="H12" s="12" t="n">
        <x:v>0</x:v>
      </x:c>
      <x:c r="I12" s="12" t="n">
        <x:v>18</x:v>
      </x:c>
      <x:c r="J12" s="12" t="n">
        <x:v>0</x:v>
      </x:c>
    </x:row>
    <x:row r="13">
      <x:c r="A13" s="12" t="str">
        <x:v>CRYPTO</x:v>
      </x:c>
      <x:c r="B13" s="12" t="str">
        <x:v>Cryptography, certificates and secret management</x:v>
      </x:c>
      <x:c r="C13" s="12" t="n">
        <x:v>18</x:v>
      </x:c>
      <x:c r="D13" s="12" t="n">
        <x:v>18</x:v>
      </x:c>
      <x:c r="E13" s="12" t="n">
        <x:v>0</x:v>
      </x:c>
      <x:c r="F13" s="12" t="n">
        <x:v>0</x:v>
      </x:c>
      <x:c r="G13" s="12" t="n">
        <x:v>0</x:v>
      </x:c>
      <x:c r="H13" s="12" t="n">
        <x:v>18</x:v>
      </x:c>
      <x:c r="I13" s="12" t="n">
        <x:v>0</x:v>
      </x:c>
      <x:c r="J13" s="12" t="n">
        <x:v>0</x:v>
      </x:c>
    </x:row>
    <x:row r="14">
      <x:c r="A14" s="12" t="str">
        <x:v>DATA</x:v>
      </x:c>
      <x:c r="B14" s="12" t="str">
        <x:v>Data protection, privacy and retention</x:v>
      </x:c>
      <x:c r="C14" s="12" t="n">
        <x:v>16</x:v>
      </x:c>
      <x:c r="D14" s="12" t="n">
        <x:v>0</x:v>
      </x:c>
      <x:c r="E14" s="12" t="n">
        <x:v>16</x:v>
      </x:c>
      <x:c r="F14" s="12" t="n">
        <x:v>0</x:v>
      </x:c>
      <x:c r="G14" s="12" t="n">
        <x:v>0</x:v>
      </x:c>
      <x:c r="H14" s="12" t="n">
        <x:v>16</x:v>
      </x:c>
      <x:c r="I14" s="12" t="n">
        <x:v>0</x:v>
      </x:c>
      <x:c r="J14" s="12" t="n">
        <x:v>0</x:v>
      </x:c>
    </x:row>
    <x:row r="15">
      <x:c r="A15" s="12" t="str">
        <x:v>ERROR</x:v>
      </x:c>
      <x:c r="B15" s="12" t="str">
        <x:v>Error handling, logging, detection and response</x:v>
      </x:c>
      <x:c r="C15" s="12" t="n">
        <x:v>15</x:v>
      </x:c>
      <x:c r="D15" s="12" t="n">
        <x:v>0</x:v>
      </x:c>
      <x:c r="E15" s="12" t="n">
        <x:v>15</x:v>
      </x:c>
      <x:c r="F15" s="12" t="n">
        <x:v>0</x:v>
      </x:c>
      <x:c r="G15" s="12" t="n">
        <x:v>0</x:v>
      </x:c>
      <x:c r="H15" s="12" t="n">
        <x:v>15</x:v>
      </x:c>
      <x:c r="I15" s="12" t="n">
        <x:v>0</x:v>
      </x:c>
      <x:c r="J15" s="12" t="n">
        <x:v>0</x:v>
      </x:c>
    </x:row>
    <x:row r="16">
      <x:c r="A16" s="12" t="str">
        <x:v>EVIDENCE</x:v>
      </x:c>
      <x:c r="B16" s="12" t="str">
        <x:v>Evidence integrity, reporting and audit trail</x:v>
      </x:c>
      <x:c r="C16" s="12" t="n">
        <x:v>12</x:v>
      </x:c>
      <x:c r="D16" s="12" t="n">
        <x:v>0</x:v>
      </x:c>
      <x:c r="E16" s="12" t="n">
        <x:v>12</x:v>
      </x:c>
      <x:c r="F16" s="12" t="n">
        <x:v>0</x:v>
      </x:c>
      <x:c r="G16" s="12" t="n">
        <x:v>0</x:v>
      </x:c>
      <x:c r="H16" s="12" t="n">
        <x:v>12</x:v>
      </x:c>
      <x:c r="I16" s="12" t="n">
        <x:v>0</x:v>
      </x:c>
      <x:c r="J16" s="12" t="n">
        <x:v>0</x:v>
      </x:c>
    </x:row>
    <x:row r="17">
      <x:c r="A17" s="12" t="str">
        <x:v>FILES</x:v>
      </x:c>
      <x:c r="B17" s="12" t="str">
        <x:v>Uploads, downloads, parsing and SSRF surfaces</x:v>
      </x:c>
      <x:c r="C17" s="12" t="n">
        <x:v>15</x:v>
      </x:c>
      <x:c r="D17" s="12" t="n">
        <x:v>0</x:v>
      </x:c>
      <x:c r="E17" s="12" t="n">
        <x:v>15</x:v>
      </x:c>
      <x:c r="F17" s="12" t="n">
        <x:v>0</x:v>
      </x:c>
      <x:c r="G17" s="12" t="n">
        <x:v>0</x:v>
      </x:c>
      <x:c r="H17" s="12" t="n">
        <x:v>0</x:v>
      </x:c>
      <x:c r="I17" s="12" t="n">
        <x:v>15</x:v>
      </x:c>
      <x:c r="J17" s="12" t="n">
        <x:v>0</x:v>
      </x:c>
    </x:row>
    <x:row r="18">
      <x:c r="A18" s="12" t="str">
        <x:v>GOV</x:v>
      </x:c>
      <x:c r="B18" s="12" t="str">
        <x:v>Governance, authorization and scope</x:v>
      </x:c>
      <x:c r="C18" s="12" t="n">
        <x:v>20</x:v>
      </x:c>
      <x:c r="D18" s="12" t="n">
        <x:v>20</x:v>
      </x:c>
      <x:c r="E18" s="12" t="n">
        <x:v>0</x:v>
      </x:c>
      <x:c r="F18" s="12" t="n">
        <x:v>0</x:v>
      </x:c>
      <x:c r="G18" s="12" t="n">
        <x:v>0</x:v>
      </x:c>
      <x:c r="H18" s="12" t="n">
        <x:v>20</x:v>
      </x:c>
      <x:c r="I18" s="12" t="n">
        <x:v>0</x:v>
      </x:c>
      <x:c r="J18" s="12" t="n">
        <x:v>0</x:v>
      </x:c>
    </x:row>
    <x:row r="19">
      <x:c r="A19" s="12" t="str">
        <x:v>HTTP_PROTOCOLS</x:v>
      </x:c>
      <x:c r="B19" s="12" t="str">
        <x:v>Protocol correctness and edge cases</x:v>
      </x:c>
      <x:c r="C19" s="12" t="n">
        <x:v>6</x:v>
      </x:c>
      <x:c r="D19" s="12" t="n">
        <x:v>0</x:v>
      </x:c>
      <x:c r="E19" s="12" t="n">
        <x:v>0</x:v>
      </x:c>
      <x:c r="F19" s="12" t="n">
        <x:v>6</x:v>
      </x:c>
      <x:c r="G19" s="12" t="n">
        <x:v>0</x:v>
      </x:c>
      <x:c r="H19" s="12" t="n">
        <x:v>6</x:v>
      </x:c>
      <x:c r="I19" s="12" t="n">
        <x:v>0</x:v>
      </x:c>
      <x:c r="J19" s="12" t="n">
        <x:v>0</x:v>
      </x:c>
    </x:row>
    <x:row r="20">
      <x:c r="A20" s="12" t="str">
        <x:v>IDENTITY_PROTOCOLS</x:v>
      </x:c>
      <x:c r="B20" s="12" t="str">
        <x:v>Identity protocol configuration and token lifecycle</x:v>
      </x:c>
      <x:c r="C20" s="12" t="n">
        <x:v>6</x:v>
      </x:c>
      <x:c r="D20" s="12" t="n">
        <x:v>0</x:v>
      </x:c>
      <x:c r="E20" s="12" t="n">
        <x:v>6</x:v>
      </x:c>
      <x:c r="F20" s="12" t="n">
        <x:v>0</x:v>
      </x:c>
      <x:c r="G20" s="12" t="n">
        <x:v>0</x:v>
      </x:c>
      <x:c r="H20" s="12" t="n">
        <x:v>0</x:v>
      </x:c>
      <x:c r="I20" s="12" t="n">
        <x:v>6</x:v>
      </x:c>
      <x:c r="J20" s="12" t="n">
        <x:v>0</x:v>
      </x:c>
    </x:row>
    <x:row r="21">
      <x:c r="A21" s="12" t="str">
        <x:v>INPUT</x:v>
      </x:c>
      <x:c r="B21" s="12" t="str">
        <x:v>Input validation, output encoding and injection</x:v>
      </x:c>
      <x:c r="C21" s="12" t="n">
        <x:v>20</x:v>
      </x:c>
      <x:c r="D21" s="12" t="n">
        <x:v>20</x:v>
      </x:c>
      <x:c r="E21" s="12" t="n">
        <x:v>0</x:v>
      </x:c>
      <x:c r="F21" s="12" t="n">
        <x:v>0</x:v>
      </x:c>
      <x:c r="G21" s="12" t="n">
        <x:v>0</x:v>
      </x:c>
      <x:c r="H21" s="12" t="n">
        <x:v>20</x:v>
      </x:c>
      <x:c r="I21" s="12" t="n">
        <x:v>0</x:v>
      </x:c>
      <x:c r="J21" s="12" t="n">
        <x:v>0</x:v>
      </x:c>
    </x:row>
    <x:row r="22">
      <x:c r="A22" s="12" t="str">
        <x:v>MOBILE</x:v>
      </x:c>
      <x:c r="B22" s="12" t="str">
        <x:v>Mobile application security (conditional)</x:v>
      </x:c>
      <x:c r="C22" s="12" t="n">
        <x:v>10</x:v>
      </x:c>
      <x:c r="D22" s="12" t="n">
        <x:v>0</x:v>
      </x:c>
      <x:c r="E22" s="12" t="n">
        <x:v>0</x:v>
      </x:c>
      <x:c r="F22" s="12" t="n">
        <x:v>10</x:v>
      </x:c>
      <x:c r="G22" s="12" t="n">
        <x:v>0</x:v>
      </x:c>
      <x:c r="H22" s="12" t="n">
        <x:v>0</x:v>
      </x:c>
      <x:c r="I22" s="12" t="n">
        <x:v>10</x:v>
      </x:c>
      <x:c r="J22" s="12" t="n">
        <x:v>0</x:v>
      </x:c>
    </x:row>
    <x:row r="23">
      <x:c r="A23" s="12" t="str">
        <x:v>PRIVREG</x:v>
      </x:c>
      <x:c r="B23" s="12" t="str">
        <x:v>Privacy, legal and sectoral applicability review</x:v>
      </x:c>
      <x:c r="C23" s="12" t="n">
        <x:v>12</x:v>
      </x:c>
      <x:c r="D23" s="12" t="n">
        <x:v>0</x:v>
      </x:c>
      <x:c r="E23" s="12" t="n">
        <x:v>12</x:v>
      </x:c>
      <x:c r="F23" s="12" t="n">
        <x:v>0</x:v>
      </x:c>
      <x:c r="G23" s="12" t="n">
        <x:v>0</x:v>
      </x:c>
      <x:c r="H23" s="12" t="n">
        <x:v>0</x:v>
      </x:c>
      <x:c r="I23" s="12" t="n">
        <x:v>12</x:v>
      </x:c>
      <x:c r="J23" s="12" t="n">
        <x:v>0</x:v>
      </x:c>
    </x:row>
    <x:row r="24">
      <x:c r="A24" s="12" t="str">
        <x:v>RELEASE</x:v>
      </x:c>
      <x:c r="B24" s="12" t="str">
        <x:v>Release, operations, backup and product governance</x:v>
      </x:c>
      <x:c r="C24" s="12" t="n">
        <x:v>14</x:v>
      </x:c>
      <x:c r="D24" s="12" t="n">
        <x:v>0</x:v>
      </x:c>
      <x:c r="E24" s="12" t="n">
        <x:v>14</x:v>
      </x:c>
      <x:c r="F24" s="12" t="n">
        <x:v>0</x:v>
      </x:c>
      <x:c r="G24" s="12" t="n">
        <x:v>0</x:v>
      </x:c>
      <x:c r="H24" s="12" t="n">
        <x:v>14</x:v>
      </x:c>
      <x:c r="I24" s="12" t="n">
        <x:v>0</x:v>
      </x:c>
      <x:c r="J24" s="12" t="n">
        <x:v>0</x:v>
      </x:c>
    </x:row>
    <x:row r="25">
      <x:c r="A25" s="12" t="str">
        <x:v>RISK</x:v>
      </x:c>
      <x:c r="B25" s="12" t="str">
        <x:v>Risk assessment and threat modeling</x:v>
      </x:c>
      <x:c r="C25" s="12" t="n">
        <x:v>16</x:v>
      </x:c>
      <x:c r="D25" s="12" t="n">
        <x:v>0</x:v>
      </x:c>
      <x:c r="E25" s="12" t="n">
        <x:v>16</x:v>
      </x:c>
      <x:c r="F25" s="12" t="n">
        <x:v>0</x:v>
      </x:c>
      <x:c r="G25" s="12" t="n">
        <x:v>0</x:v>
      </x:c>
      <x:c r="H25" s="12" t="n">
        <x:v>16</x:v>
      </x:c>
      <x:c r="I25" s="12" t="n">
        <x:v>0</x:v>
      </x:c>
      <x:c r="J25" s="12" t="n">
        <x:v>0</x:v>
      </x:c>
    </x:row>
    <x:row r="26">
      <x:c r="A26" s="12" t="str">
        <x:v>SCANNER</x:v>
      </x:c>
      <x:c r="B26" s="12" t="str">
        <x:v>Security testing product / scanner assurance</x:v>
      </x:c>
      <x:c r="C26" s="12" t="n">
        <x:v>20</x:v>
      </x:c>
      <x:c r="D26" s="12" t="n">
        <x:v>20</x:v>
      </x:c>
      <x:c r="E26" s="12" t="n">
        <x:v>0</x:v>
      </x:c>
      <x:c r="F26" s="12" t="n">
        <x:v>0</x:v>
      </x:c>
      <x:c r="G26" s="12" t="n">
        <x:v>0</x:v>
      </x:c>
      <x:c r="H26" s="12" t="n">
        <x:v>20</x:v>
      </x:c>
      <x:c r="I26" s="12" t="n">
        <x:v>0</x:v>
      </x:c>
      <x:c r="J26" s="12" t="n">
        <x:v>0</x:v>
      </x:c>
    </x:row>
    <x:row r="27">
      <x:c r="A27" s="12" t="str">
        <x:v>SDLC</x:v>
      </x:c>
      <x:c r="B27" s="12" t="str">
        <x:v>Secure development lifecycle and verification</x:v>
      </x:c>
      <x:c r="C27" s="12" t="n">
        <x:v>20</x:v>
      </x:c>
      <x:c r="D27" s="12" t="n">
        <x:v>0</x:v>
      </x:c>
      <x:c r="E27" s="12" t="n">
        <x:v>20</x:v>
      </x:c>
      <x:c r="F27" s="12" t="n">
        <x:v>0</x:v>
      </x:c>
      <x:c r="G27" s="12" t="n">
        <x:v>0</x:v>
      </x:c>
      <x:c r="H27" s="12" t="n">
        <x:v>20</x:v>
      </x:c>
      <x:c r="I27" s="12" t="n">
        <x:v>0</x:v>
      </x:c>
      <x:c r="J27" s="12" t="n">
        <x:v>0</x:v>
      </x:c>
    </x:row>
    <x:row r="28">
      <x:c r="A28" s="12" t="str">
        <x:v>SESSION</x:v>
      </x:c>
      <x:c r="B28" s="12" t="str">
        <x:v>Session, cookies and browser state</x:v>
      </x:c>
      <x:c r="C28" s="12" t="n">
        <x:v>15</x:v>
      </x:c>
      <x:c r="D28" s="12" t="n">
        <x:v>0</x:v>
      </x:c>
      <x:c r="E28" s="12" t="n">
        <x:v>15</x:v>
      </x:c>
      <x:c r="F28" s="12" t="n">
        <x:v>0</x:v>
      </x:c>
      <x:c r="G28" s="12" t="n">
        <x:v>0</x:v>
      </x:c>
      <x:c r="H28" s="12" t="n">
        <x:v>15</x:v>
      </x:c>
      <x:c r="I28" s="12" t="n">
        <x:v>0</x:v>
      </x:c>
      <x:c r="J28" s="12" t="n">
        <x:v>0</x:v>
      </x:c>
    </x:row>
    <x:row r="29">
      <x:c r="A29" s="12" t="str">
        <x:v>STANDARDS</x:v>
      </x:c>
      <x:c r="B29" s="12" t="str">
        <x:v>Standards mapping and conformity governance</x:v>
      </x:c>
      <x:c r="C29" s="12" t="n">
        <x:v>12</x:v>
      </x:c>
      <x:c r="D29" s="12" t="n">
        <x:v>0</x:v>
      </x:c>
      <x:c r="E29" s="12" t="n">
        <x:v>12</x:v>
      </x:c>
      <x:c r="F29" s="12" t="n">
        <x:v>0</x:v>
      </x:c>
      <x:c r="G29" s="12" t="n">
        <x:v>0</x:v>
      </x:c>
      <x:c r="H29" s="12" t="n">
        <x:v>12</x:v>
      </x:c>
      <x:c r="I29" s="12" t="n">
        <x:v>0</x:v>
      </x:c>
      <x:c r="J29" s="12" t="n">
        <x:v>0</x:v>
      </x:c>
    </x:row>
    <x:row r="30">
      <x:c r="A30" s="12" t="str">
        <x:v>SUPPLY</x:v>
      </x:c>
      <x:c r="B30" s="12" t="str">
        <x:v>Software supply chain, dependencies and artifacts</x:v>
      </x:c>
      <x:c r="C30" s="12" t="n">
        <x:v>18</x:v>
      </x:c>
      <x:c r="D30" s="12" t="n">
        <x:v>0</x:v>
      </x:c>
      <x:c r="E30" s="12" t="n">
        <x:v>18</x:v>
      </x:c>
      <x:c r="F30" s="12" t="n">
        <x:v>0</x:v>
      </x:c>
      <x:c r="G30" s="12" t="n">
        <x:v>0</x:v>
      </x:c>
      <x:c r="H30" s="12" t="n">
        <x:v>18</x:v>
      </x:c>
      <x:c r="I30" s="12" t="n">
        <x:v>0</x:v>
      </x:c>
      <x:c r="J30" s="12" t="n">
        <x:v>0</x:v>
      </x:c>
    </x:row>
    <x:row r="31">
      <x:c r="A31" s="12" t="str">
        <x:v>SUPPORT</x:v>
      </x:c>
      <x:c r="B31" s="12" t="str">
        <x:v>Security support, customer communication and disclosure</x:v>
      </x:c>
      <x:c r="C31" s="12" t="n">
        <x:v>5</x:v>
      </x:c>
      <x:c r="D31" s="12" t="n">
        <x:v>0</x:v>
      </x:c>
      <x:c r="E31" s="12" t="n">
        <x:v>0</x:v>
      </x:c>
      <x:c r="F31" s="12" t="n">
        <x:v>5</x:v>
      </x:c>
      <x:c r="G31" s="12" t="n">
        <x:v>0</x:v>
      </x:c>
      <x:c r="H31" s="12" t="n">
        <x:v>5</x:v>
      </x:c>
      <x:c r="I31" s="12" t="n">
        <x:v>0</x:v>
      </x:c>
      <x:c r="J31" s="12" t="n">
        <x:v>0</x:v>
      </x:c>
    </x:row>
    <x:row r="32">
      <x:c r="A32" s="12" t="str">
        <x:v>VULN</x:v>
      </x:c>
      <x:c r="B32" s="12" t="str">
        <x:v>Vulnerability management, disclosure and remediation</x:v>
      </x:c>
      <x:c r="C32" s="12" t="n">
        <x:v>15</x:v>
      </x:c>
      <x:c r="D32" s="12" t="n">
        <x:v>0</x:v>
      </x:c>
      <x:c r="E32" s="12" t="n">
        <x:v>15</x:v>
      </x:c>
      <x:c r="F32" s="12" t="n">
        <x:v>0</x:v>
      </x:c>
      <x:c r="G32" s="12" t="n">
        <x:v>0</x:v>
      </x:c>
      <x:c r="H32" s="12" t="n">
        <x:v>15</x:v>
      </x:c>
      <x:c r="I32" s="12" t="n">
        <x:v>0</x:v>
      </x:c>
      <x:c r="J32" s="12" t="n">
        <x:v>0</x:v>
      </x:c>
    </x:row>
    <x:row r="33">
      <x:c r="A33" s="12" t="str">
        <x:v>WEB</x:v>
      </x:c>
      <x:c r="B33" s="12" t="str">
        <x:v>HTTP, browser policies and web configuration</x:v>
      </x:c>
      <x:c r="C33" s="12" t="n">
        <x:v>18</x:v>
      </x:c>
      <x:c r="D33" s="12" t="n">
        <x:v>0</x:v>
      </x:c>
      <x:c r="E33" s="12" t="n">
        <x:v>18</x:v>
      </x:c>
      <x:c r="F33" s="12" t="n">
        <x:v>0</x:v>
      </x:c>
      <x:c r="G33" s="12" t="n">
        <x:v>0</x:v>
      </x:c>
      <x:c r="H33" s="12" t="n">
        <x:v>18</x:v>
      </x:c>
      <x:c r="I33" s="12" t="n">
        <x:v>0</x:v>
      </x:c>
      <x:c r="J33" s="1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67c483e6d5444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5" hidden="0" customWidth="1"/>
  </x:cols>
  <x:sheetData>
    <x:row r="1" ht="28" customHeight="1">
      <x:c r="A1" s="66" t="str">
        <x:v>Topic</x:v>
      </x:c>
      <x:c r="B1" s="66" t="str">
        <x:v>Guidance</x:v>
      </x:c>
    </x:row>
    <x:row r="2" ht="46" customHeight="1">
      <x:c r="A2" s="70" t="str">
        <x:v>Purpose</x:v>
      </x:c>
      <x:c r="B2" s="75" t="str">
        <x:v>Industrial-oriented, curated standards crosswalk and checklist for a web/API security assessment platform and its secure software lifecycle.</x:v>
      </x:c>
    </x:row>
    <x:row r="3" ht="46" customHeight="1">
      <x:c r="A3" s="70" t="str">
        <x:v>Scope levels</x:v>
      </x:c>
      <x:c r="B3" s="75" t="str">
        <x:v>Core = directly applicable web/API/application-security requirement; Conditional = applies only if the application uses the technology, handles the regulated data, operates in a covered sector/jurisdiction, or adopts the framework; Adjacent = related guidance or maturity model useful for program completeness.</x:v>
      </x:c>
    </x:row>
    <x:row r="4" ht="46" customHeight="1">
      <x:c r="A4" s="70" t="str">
        <x:v>Count semantics</x:v>
      </x:c>
      <x:c r="B4" s="75" t="str">
        <x:v>This edition includes 67 framework/standard references, 32 domains, and 469 curated control objectives. Counts are generated from the packaged data.</x:v>
      </x:c>
    </x:row>
    <x:row r="5" ht="46" customHeight="1">
      <x:c r="A5" s="70" t="str">
        <x:v>No certification claim</x:v>
      </x:c>
      <x:c r="B5" s="75" t="str">
        <x:v>The registry contains standards, regulations, RFCs, awareness lists, taxonomies and voluntary guidance. These have different legal/technical force. Mapping a topic to a framework does not mean the project complies with that framework.</x:v>
      </x:c>
    </x:row>
    <x:row r="6" ht="46" customHeight="1">
      <x:c r="A6" s="70" t="str">
        <x:v>Requirement wording</x:v>
      </x:c>
      <x:c r="B6" s="75" t="str">
        <x:v>Checklist wording is paraphrased, original and outcome-oriented. It is not a reproduction of copyrighted ISO/PCI/AICPA text. Use purchased/official normative documents to confirm exact clauses.</x:v>
      </x:c>
    </x:row>
    <x:row r="7" ht="46" customHeight="1">
      <x:c r="A7" s="70" t="str">
        <x:v>Assessment status</x:v>
      </x:c>
      <x:c r="B7" s="75" t="str">
        <x:v>not_assessed, evidence_pending, blocked, compliant, partially_compliant, non_compliant, not_applicable. Keep default status until evidence is reviewed.</x:v>
      </x:c>
    </x:row>
    <x:row r="8" ht="46" customHeight="1">
      <x:c r="A8" s="70" t="str">
        <x:v>Evidence quality</x:v>
      </x:c>
      <x:c r="B8" s="75" t="str">
        <x:v>Evidence should be dated, scoped, reproducible, sanitized, hashed where appropriate and linked to the exact software/site/version/configuration tested. Never attach secrets or live customer data unnecessarily.</x:v>
      </x:c>
    </x:row>
    <x:row r="9" ht="46" customHeight="1">
      <x:c r="A9" s="70" t="str">
        <x:v>Independent review</x:v>
      </x:c>
      <x:c r="B9" s="75" t="str">
        <x:v>Controls marked compliant or partially compliant should be independently reviewed. Scanner output is one evidence source, never proof of absence of vulnerabilities.</x:v>
      </x:c>
    </x:row>
    <x:row r="10" ht="46" customHeight="1">
      <x:c r="A10" s="70" t="str">
        <x:v>Automation distinction</x:v>
      </x:c>
      <x:c r="B10" s="75" t="str">
        <x:v>automated_readonly/automated_passive may be automated without modifying state. automated_plus_manual needs reviewer confirmation. manual_review/interview_or_evidence requires people/artifacts. external_tool/specialist_tool/manual_or_specialist_tool requires setup or tooling outside this base package.</x:v>
      </x:c>
    </x:row>
    <x:row r="11" ht="46" customHeight="1">
      <x:c r="A11" s="70" t="str">
        <x:v>Refresh cadence</x:v>
      </x:c>
      <x:c r="B11" s="75" t="str">
        <x:v>Re-validate current editions, errata, jurisdictional laws and scheme requirements before each engagement and at least quarterly for the framework register. Standards evolve.</x:v>
      </x:c>
    </x:row>
    <x:row r="12" ht="46" customHeight="1">
      <x:c r="A12" s="70" t="str">
        <x:v>Rules of engagement</x:v>
      </x:c>
      <x:c r="B12" s="75" t="str">
        <x:v>Use only targets with written authorization. Record included/excluded domains, ports, IP ranges, test dates, methods, request limits, maintenance windows and emergency stop contact.</x:v>
      </x:c>
    </x:row>
    <x:row r="13" ht="46" customHeight="1">
      <x:c r="A13" s="70" t="str">
        <x:v>Privacy and retention</x:v>
      </x:c>
      <x:c r="B13" s="75" t="str">
        <x:v>Minimize collection of content and personal data, redact credentials, define report access, retention, deletion and incident response before testing.</x:v>
      </x:c>
    </x:row>
    <x:row r="14" ht="46" customHeight="1">
      <x:c r="A14" s="70" t="str">
        <x:v>Software lifecycle</x:v>
      </x:c>
      <x:c r="B14" s="75" t="str">
        <x:v>Use branch protection, code review, reproducible locked dependencies, SAST, dependency/SCA review, secret scanning, container scanning, SBOM/provenance, release signatures where supported and incident response.</x:v>
      </x:c>
    </x:row>
    <x:row r="15" ht="46" customHeight="1">
      <x:c r="A15" s="70" t="str">
        <x:v>Limitations</x:v>
      </x:c>
      <x:c r="B15" s="75" t="str">
        <x:v>The checklist does not attest legal compliance. GDPR/NIS2/DORA/PCI/HIPAA/SOC 2 and accessibility obligations depend on scope and context; qualified counsel/auditor/domain expert should confirm applicability.</x:v>
      </x:c>
    </x:row>
    <x:row r="16" ht="46" customHeight="1">
      <x:c r="A16" s="70" t="str">
        <x:v>Official-source policy</x:v>
      </x:c>
      <x:c r="B16" s="75" t="str">
        <x:v>Official URLs are provided on the Standards Register tab. Prefer the issuing body and pin version/edition in engagement reports. Dynamic/rolling sources are marked for re-validation.</x:v>
      </x:c>
    </x:row>
    <x:row r="17">
      <x:c r="A17" t="str">
        <x:v>Offline workbook snapshot</x:v>
      </x:c>
      <x:c r="B17" t="str">
        <x:v>This XLSX is an offline export. It does not synchronize with checklist states stored in the running API/database. Refresh/export a new workbook after project-state changes.</x:v>
      </x:c>
    </x:row>
    <x:row r="18">
      <x:c r="A18" t="str">
        <x:v>Control relationship</x:v>
      </x:c>
      <x:c r="B18" t="str">
        <x:v>Direct = core normative/technical fit; supporting = governance/engineering method; conditional = only where law, industry, data, or deployment makes it applicable; adjacent = useful neighboring practice, not automatic compliance scope.</x:v>
      </x:c>
    </x:row>
  </x:sheetData>
  <x:pageMargins left="0.7" right="0.7" top="0.75" bottom="0.75" header="0.3" footer="0.3"/>
</x:worksheet>
</file>